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undamentals" sheetId="1" state="visible" r:id="rId3"/>
    <sheet name="Current" sheetId="2" state="visible" r:id="rId4"/>
    <sheet name="Macro" sheetId="3" state="visible" r:id="rId5"/>
    <sheet name="WACC" sheetId="4" state="visible" r:id="rId6"/>
    <sheet name="Instruction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<sst xmlns="http://schemas.openxmlformats.org/spreadsheetml/2006/main" count="233" uniqueCount="163">
  <si>
    <t xml:space="preserve">Date</t>
  </si>
  <si>
    <t xml:space="preserve">Revenue</t>
  </si>
  <si>
    <t xml:space="preserve">EBIT</t>
  </si>
  <si>
    <t xml:space="preserve">EBITDA</t>
  </si>
  <si>
    <t xml:space="preserve">D&amp;A</t>
  </si>
  <si>
    <t xml:space="preserve">Tax Expense</t>
  </si>
  <si>
    <t xml:space="preserve">Interest Exp</t>
  </si>
  <si>
    <t xml:space="preserve">Net Income</t>
  </si>
  <si>
    <t xml:space="preserve">Total Debt</t>
  </si>
  <si>
    <t xml:space="preserve">Cash &amp; Equiv</t>
  </si>
  <si>
    <t xml:space="preserve">Minority Int</t>
  </si>
  <si>
    <t xml:space="preserve">Shares Out</t>
  </si>
  <si>
    <t xml:space="preserve">Book Equity</t>
  </si>
  <si>
    <t xml:space="preserve">Total Assets</t>
  </si>
  <si>
    <t xml:space="preserve">CapEx</t>
  </si>
  <si>
    <t xml:space="preserve">CFO</t>
  </si>
  <si>
    <t xml:space="preserve">Chg in NWC</t>
  </si>
  <si>
    <t xml:space="preserve">Start Year:</t>
  </si>
  <si>
    <t xml:space="preserve">Ticker</t>
  </si>
  <si>
    <t xml:space="preserve">NESN SW Equity</t>
  </si>
  <si>
    <t xml:space="preserve">End Year:</t>
  </si>
  <si>
    <t xml:space="preserve">Field</t>
  </si>
  <si>
    <t xml:space="preserve">SALES_REV_TURN</t>
  </si>
  <si>
    <t xml:space="preserve">IS_OPER_INC</t>
  </si>
  <si>
    <t xml:space="preserve">CF_DEPR_AMORT</t>
  </si>
  <si>
    <t xml:space="preserve">IS_INC_TAX_EXP</t>
  </si>
  <si>
    <t xml:space="preserve">IS_INT_EXPENSE</t>
  </si>
  <si>
    <t xml:space="preserve">NET_INCOME</t>
  </si>
  <si>
    <t xml:space="preserve">SHORT_AND_LONG_TERM_DEBT</t>
  </si>
  <si>
    <t xml:space="preserve">BS_CASH_NEAR_CASH_ITEM</t>
  </si>
  <si>
    <t xml:space="preserve">MINORITY_INTEREST</t>
  </si>
  <si>
    <t xml:space="preserve">BS_SH_OUT</t>
  </si>
  <si>
    <t xml:space="preserve">TOT_COMMON_EQY</t>
  </si>
  <si>
    <t xml:space="preserve">BS_TOT_ASSET</t>
  </si>
  <si>
    <t xml:space="preserve">CF_CAP_EXPEND_PRPTY_ADD</t>
  </si>
  <si>
    <t xml:space="preserve">CASH_FLOW_FROM_OPER</t>
  </si>
  <si>
    <t xml:space="preserve">CHG_IN_WORK_CAP</t>
  </si>
  <si>
    <t xml:space="preserve">To change range:</t>
  </si>
  <si>
    <t xml:space="preserve">BBG LIVE — Each cell = own BDH, fix date, no spill</t>
  </si>
  <si>
    <t xml:space="preserve">1. Update years above</t>
  </si>
  <si>
    <t xml:space="preserve">Year</t>
  </si>
  <si>
    <t xml:space="preserve">2. Change year in col A</t>
  </si>
  <si>
    <t xml:space="preserve">3. Copy BDH formula from row above</t>
  </si>
  <si>
    <t xml:space="preserve">LTM</t>
  </si>
  <si>
    <t xml:space="preserve">FY1 Est</t>
  </si>
  <si>
    <t xml:space="preserve">HARD COPY — Paste Values from BBG block above</t>
  </si>
  <si>
    <t xml:space="preserve">DERIVED METRICS</t>
  </si>
  <si>
    <t xml:space="preserve">Rev YoY%</t>
  </si>
  <si>
    <t xml:space="preserve">EBIT Mrg</t>
  </si>
  <si>
    <t xml:space="preserve">EBITDA Mrg</t>
  </si>
  <si>
    <t xml:space="preserve">D&amp;A/Rev</t>
  </si>
  <si>
    <t xml:space="preserve">CapEx/Rev</t>
  </si>
  <si>
    <t xml:space="preserve">NWC/Rev</t>
  </si>
  <si>
    <t xml:space="preserve">Eff Tax</t>
  </si>
  <si>
    <t xml:space="preserve">NOPAT</t>
  </si>
  <si>
    <t xml:space="preserve">Inv Cap</t>
  </si>
  <si>
    <t xml:space="preserve">ROIC</t>
  </si>
  <si>
    <t xml:space="preserve">FCFF</t>
  </si>
  <si>
    <t xml:space="preserve">FCFF Mrg</t>
  </si>
  <si>
    <t xml:space="preserve">SUMMARY</t>
  </si>
  <si>
    <t xml:space="preserve">5Y Rev CAGR</t>
  </si>
  <si>
    <t xml:space="preserve">3Y Rev CAGR</t>
  </si>
  <si>
    <t xml:space="preserve">Med EBIT Mrg</t>
  </si>
  <si>
    <t xml:space="preserve">Med ROIC</t>
  </si>
  <si>
    <t xml:space="preserve">Avg Eff Tax</t>
  </si>
  <si>
    <t xml:space="preserve">Avg FCFF Mrg</t>
  </si>
  <si>
    <t xml:space="preserve">Max Rev Gr</t>
  </si>
  <si>
    <t xml:space="preserve">Min Rev Gr</t>
  </si>
  <si>
    <t xml:space="preserve">Ticker:</t>
  </si>
  <si>
    <t xml:space="preserve">BBG Live</t>
  </si>
  <si>
    <t xml:space="preserve">Hard Copy</t>
  </si>
  <si>
    <t xml:space="preserve">BBG Field</t>
  </si>
  <si>
    <t xml:space="preserve">Price</t>
  </si>
  <si>
    <t xml:space="preserve">PX_LAST</t>
  </si>
  <si>
    <t xml:space="preserve">Market Cap</t>
  </si>
  <si>
    <t xml:space="preserve">CUR_MKT_CAP</t>
  </si>
  <si>
    <t xml:space="preserve">EQY_SH_OUT</t>
  </si>
  <si>
    <t xml:space="preserve">EV</t>
  </si>
  <si>
    <t xml:space="preserve">ENTERPRISE_VALUE</t>
  </si>
  <si>
    <t xml:space="preserve">Beta Raw</t>
  </si>
  <si>
    <t xml:space="preserve">BETA_RAW_OVERRIDABLE</t>
  </si>
  <si>
    <t xml:space="preserve">Beta Adj</t>
  </si>
  <si>
    <t xml:space="preserve">BETA_ADJ_OVERRIDABLE</t>
  </si>
  <si>
    <t xml:space="preserve">BBG WACC</t>
  </si>
  <si>
    <t xml:space="preserve">WACC</t>
  </si>
  <si>
    <t xml:space="preserve">RETURN_ON_INV_CAPITAL</t>
  </si>
  <si>
    <t xml:space="preserve">Div Yield</t>
  </si>
  <si>
    <t xml:space="preserve">EQY_DVD_YLD_12M</t>
  </si>
  <si>
    <t xml:space="preserve">D/E</t>
  </si>
  <si>
    <t xml:space="preserve">TOT_DEBT_TO_TOT_EQY</t>
  </si>
  <si>
    <t xml:space="preserve">Op Margin</t>
  </si>
  <si>
    <t xml:space="preserve">OPER_MARGIN</t>
  </si>
  <si>
    <t xml:space="preserve">Cons Rev FY1</t>
  </si>
  <si>
    <t xml:space="preserve">BEST_SALES</t>
  </si>
  <si>
    <t xml:space="preserve">Cons EPS FY1</t>
  </si>
  <si>
    <t xml:space="preserve">BEST_EPS</t>
  </si>
  <si>
    <t xml:space="preserve">DERIVED</t>
  </si>
  <si>
    <t xml:space="preserve">Net Debt</t>
  </si>
  <si>
    <t xml:space="preserve">EV calc</t>
  </si>
  <si>
    <t xml:space="preserve">MACRO</t>
  </si>
  <si>
    <t xml:space="preserve">Region</t>
  </si>
  <si>
    <t xml:space="preserve">Switzerland</t>
  </si>
  <si>
    <t xml:space="preserve">SF10YT=RR Index</t>
  </si>
  <si>
    <t xml:space="preserve">Eurozone</t>
  </si>
  <si>
    <t xml:space="preserve">GDBR10 Index</t>
  </si>
  <si>
    <t xml:space="preserve">USA</t>
  </si>
  <si>
    <t xml:space="preserve">USGG10YR Index</t>
  </si>
  <si>
    <t xml:space="preserve">UK</t>
  </si>
  <si>
    <t xml:space="preserve">GUKG10 Index</t>
  </si>
  <si>
    <t xml:space="preserve">Japan</t>
  </si>
  <si>
    <t xml:space="preserve">JGBS10 Index</t>
  </si>
  <si>
    <t xml:space="preserve">GDP</t>
  </si>
  <si>
    <t xml:space="preserve">Real</t>
  </si>
  <si>
    <t xml:space="preserve">Infl</t>
  </si>
  <si>
    <t xml:space="preserve">Nominal</t>
  </si>
  <si>
    <t xml:space="preserve">EM</t>
  </si>
  <si>
    <t xml:space="preserve">ERP</t>
  </si>
  <si>
    <t xml:space="preserve">Source</t>
  </si>
  <si>
    <t xml:space="preserve">Damodaran</t>
  </si>
  <si>
    <t xml:space="preserve">DMS</t>
  </si>
  <si>
    <t xml:space="preserve">Own/IC</t>
  </si>
  <si>
    <t xml:space="preserve">Param</t>
  </si>
  <si>
    <t xml:space="preserve">Linked</t>
  </si>
  <si>
    <t xml:space="preserve">Manual</t>
  </si>
  <si>
    <t xml:space="preserve">Active</t>
  </si>
  <si>
    <t xml:space="preserve">Used</t>
  </si>
  <si>
    <t xml:space="preserve">Note</t>
  </si>
  <si>
    <t xml:space="preserve">Rf</t>
  </si>
  <si>
    <t xml:space="preserve">Macro HC</t>
  </si>
  <si>
    <t xml:space="preserve">Macro</t>
  </si>
  <si>
    <t xml:space="preserve">Beta</t>
  </si>
  <si>
    <t xml:space="preserve">Current HC</t>
  </si>
  <si>
    <t xml:space="preserve">CoE</t>
  </si>
  <si>
    <t xml:space="preserve">Calc</t>
  </si>
  <si>
    <t xml:space="preserve">Rf+B*ERP</t>
  </si>
  <si>
    <t xml:space="preserve">Pre-Tax CoD</t>
  </si>
  <si>
    <t xml:space="preserve">Tax Rate</t>
  </si>
  <si>
    <t xml:space="preserve">Fund avg</t>
  </si>
  <si>
    <t xml:space="preserve">AT CoD</t>
  </si>
  <si>
    <t xml:space="preserve">CoD*(1-t)</t>
  </si>
  <si>
    <t xml:space="preserve">Eq Weight</t>
  </si>
  <si>
    <t xml:space="preserve">E/(D+E)</t>
  </si>
  <si>
    <t xml:space="preserve">Debt Wt</t>
  </si>
  <si>
    <t xml:space="preserve">1-EqWt</t>
  </si>
  <si>
    <t xml:space="preserve">Result</t>
  </si>
  <si>
    <t xml:space="preserve">Tg</t>
  </si>
  <si>
    <t xml:space="preserve">T Margin</t>
  </si>
  <si>
    <t xml:space="preserve">Median</t>
  </si>
  <si>
    <t xml:space="preserve">Proj Yrs</t>
  </si>
  <si>
    <t xml:space="preserve">Bull</t>
  </si>
  <si>
    <t xml:space="preserve">+pp</t>
  </si>
  <si>
    <t xml:space="preserve">Bear</t>
  </si>
  <si>
    <t xml:space="preserve">-pp</t>
  </si>
  <si>
    <t xml:space="preserve">WORKFLOW</t>
  </si>
  <si>
    <t xml:space="preserve">1. Change ticker in Fundamentals!B2</t>
  </si>
  <si>
    <t xml:space="preserve">2. Each cell B6:Q11 has its own BDH (semicolons, fix date pair)</t>
  </si>
  <si>
    <t xml:space="preserve">   Example: =BDH(B$2;B$3;"20191231";"20191231";"Fill=NA";"Days=A")</t>
  </si>
  <si>
    <t xml:space="preserve">3. LTM (row 12) + FY1 Est (row 13): BDP formulas</t>
  </si>
  <si>
    <t xml:space="preserve">4. Copy B6:Q13 → Paste Values into B17:Q24</t>
  </si>
  <si>
    <t xml:space="preserve">5. To add 2025: insert row before LTM, type year, write BDH with "20251231"</t>
  </si>
  <si>
    <t xml:space="preserve">6. Current: Copy col B → col C | Macro: Copy col C → col D</t>
  </si>
  <si>
    <t xml:space="preserve">7. WACC: Auto-links. Active='Manual' to override.</t>
  </si>
  <si>
    <t xml:space="preserve">8. Save → streamlit run app.py → upload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</si>
</sst>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#,##0"/>
    <numFmt numFmtId="167" formatCode="#,##0.00"/>
    <numFmt numFmtId="168" formatCode="0.0%"/>
    <numFmt numFmtId="169" formatCode="0.00"/>
    <numFmt numFmtId="170" formatCode="0.0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00385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3"/>
      <color rgb="FF00385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003850"/>
        <bgColor rgb="FF003300"/>
      </patternFill>
    </fill>
    <fill>
      <patternFill patternType="solid">
        <fgColor rgb="FFFFFFCC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D5F5E3"/>
      </patternFill>
    </fill>
    <fill>
      <patternFill patternType="solid">
        <fgColor rgb="FFFDE9D9"/>
        <bgColor rgb="FFFFF2CC"/>
      </patternFill>
    </fill>
    <fill>
      <patternFill patternType="solid">
        <fgColor rgb="FFE8D5F5"/>
        <bgColor rgb="FFD6E4F0"/>
      </patternFill>
    </fill>
    <fill>
      <patternFill patternType="solid">
        <fgColor rgb="FFD6E4F0"/>
        <bgColor rgb="FFE2EFDA"/>
      </patternFill>
    </fill>
    <fill>
      <patternFill patternType="solid">
        <fgColor rgb="FFFFF2CC"/>
        <bgColor rgb="FFFDE9D9"/>
      </patternFill>
    </fill>
    <fill>
      <patternFill patternType="solid">
        <fgColor rgb="FFD5F5E3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1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9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2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2F2F2"/>
      <rgbColor rgb="FF808080"/>
      <rgbColor rgb="FF9999FF"/>
      <rgbColor rgb="FF993366"/>
      <rgbColor rgb="FFFFFFCC"/>
      <rgbColor rgb="FFE2EFDA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D5F5E3"/>
      <rgbColor rgb="FFFFF2CC"/>
      <rgbColor rgb="FF99CCFF"/>
      <rgbColor rgb="FFFF99CC"/>
      <rgbColor rgb="FFCC99FF"/>
      <rgbColor rgb="FFFDE9D9"/>
      <rgbColor rgb="FF3366FF"/>
      <rgbColor rgb="FF33CCCC"/>
      <rgbColor rgb="FF99CC00"/>
      <rgbColor rgb="FFFFCC00"/>
      <rgbColor rgb="FFFBAE40"/>
      <rgbColor rgb="FFF26B43"/>
      <rgbColor rgb="FF666699"/>
      <rgbColor rgb="FF70AD47"/>
      <rgbColor rgb="FF00385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850"/>
    <pageSetUpPr fitToPage="false"/>
  </sheetPr>
  <dimension ref="A1:T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7" min="1" style="1" width="14"/>
    <col collapsed="false" customWidth="true" hidden="false" outlineLevel="0" max="19" min="19" style="1" width="16"/>
    <col collapsed="false" customWidth="true" hidden="false" outlineLevel="0" max="20" min="20" style="1" width="1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S1" s="3" t="s">
        <v>17</v>
      </c>
      <c r="T1" s="4" t="n">
        <v>2019</v>
      </c>
    </row>
    <row r="2" customFormat="false" ht="15" hidden="false" customHeight="true" outlineLevel="0" collapsed="false">
      <c r="A2" s="5" t="s">
        <v>18</v>
      </c>
      <c r="B2" s="6" t="s">
        <v>19</v>
      </c>
      <c r="D2" s="7" t="str">
        <f aca="false">$B$2</f>
        <v>NESN SW Equity</v>
      </c>
      <c r="E2" s="7" t="str">
        <f aca="false">$B$2</f>
        <v>NESN SW Equity</v>
      </c>
      <c r="F2" s="7" t="str">
        <f aca="false">$B$2</f>
        <v>NESN SW Equity</v>
      </c>
      <c r="G2" s="7" t="str">
        <f aca="false">$B$2</f>
        <v>NESN SW Equity</v>
      </c>
      <c r="H2" s="7" t="str">
        <f aca="false">$B$2</f>
        <v>NESN SW Equity</v>
      </c>
      <c r="I2" s="7" t="str">
        <f aca="false">$B$2</f>
        <v>NESN SW Equity</v>
      </c>
      <c r="J2" s="7" t="str">
        <f aca="false">$B$2</f>
        <v>NESN SW Equity</v>
      </c>
      <c r="K2" s="7" t="str">
        <f aca="false">$B$2</f>
        <v>NESN SW Equity</v>
      </c>
      <c r="L2" s="7" t="str">
        <f aca="false">$B$2</f>
        <v>NESN SW Equity</v>
      </c>
      <c r="M2" s="7" t="str">
        <f aca="false">$B$2</f>
        <v>NESN SW Equity</v>
      </c>
      <c r="N2" s="7" t="str">
        <f aca="false">$B$2</f>
        <v>NESN SW Equity</v>
      </c>
      <c r="O2" s="7" t="str">
        <f aca="false">$B$2</f>
        <v>NESN SW Equity</v>
      </c>
      <c r="P2" s="7" t="str">
        <f aca="false">$B$2</f>
        <v>NESN SW Equity</v>
      </c>
      <c r="Q2" s="7" t="str">
        <f aca="false">$B$2</f>
        <v>NESN SW Equity</v>
      </c>
      <c r="R2" s="7" t="str">
        <f aca="false">$B$2</f>
        <v>NESN SW Equity</v>
      </c>
      <c r="S2" s="3" t="s">
        <v>20</v>
      </c>
      <c r="T2" s="4" t="n">
        <v>2024</v>
      </c>
    </row>
    <row r="3" customFormat="false" ht="15" hidden="false" customHeight="true" outlineLevel="0" collapsed="false">
      <c r="A3" s="5" t="s">
        <v>21</v>
      </c>
      <c r="B3" s="8" t="s">
        <v>22</v>
      </c>
      <c r="C3" s="8" t="s">
        <v>23</v>
      </c>
      <c r="D3" s="8" t="s">
        <v>3</v>
      </c>
      <c r="E3" s="8" t="s">
        <v>24</v>
      </c>
      <c r="F3" s="8" t="s">
        <v>25</v>
      </c>
      <c r="G3" s="8" t="s">
        <v>26</v>
      </c>
      <c r="H3" s="8" t="s">
        <v>27</v>
      </c>
      <c r="I3" s="8" t="s">
        <v>28</v>
      </c>
      <c r="J3" s="8" t="s">
        <v>29</v>
      </c>
      <c r="K3" s="8" t="s">
        <v>30</v>
      </c>
      <c r="L3" s="8" t="s">
        <v>31</v>
      </c>
      <c r="M3" s="8" t="s">
        <v>32</v>
      </c>
      <c r="N3" s="8" t="s">
        <v>33</v>
      </c>
      <c r="O3" s="8" t="s">
        <v>34</v>
      </c>
      <c r="P3" s="8" t="s">
        <v>35</v>
      </c>
      <c r="Q3" s="8" t="s">
        <v>36</v>
      </c>
      <c r="S3" s="7" t="s">
        <v>37</v>
      </c>
    </row>
    <row r="4" customFormat="false" ht="15" hidden="false" customHeight="true" outlineLevel="0" collapsed="false">
      <c r="A4" s="9" t="s">
        <v>38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S4" s="7" t="s">
        <v>39</v>
      </c>
    </row>
    <row r="5" customFormat="false" ht="15" hidden="false" customHeight="true" outlineLevel="0" collapsed="false">
      <c r="A5" s="2" t="s">
        <v>40</v>
      </c>
      <c r="B5" s="2" t="s">
        <v>1</v>
      </c>
      <c r="C5" s="2" t="s">
        <v>2</v>
      </c>
      <c r="D5" s="2" t="s">
        <v>3</v>
      </c>
      <c r="E5" s="2" t="s">
        <v>4</v>
      </c>
      <c r="F5" s="2" t="s">
        <v>5</v>
      </c>
      <c r="G5" s="2" t="s">
        <v>6</v>
      </c>
      <c r="H5" s="2" t="s">
        <v>7</v>
      </c>
      <c r="I5" s="2" t="s">
        <v>8</v>
      </c>
      <c r="J5" s="2" t="s">
        <v>9</v>
      </c>
      <c r="K5" s="2" t="s">
        <v>10</v>
      </c>
      <c r="L5" s="2" t="s">
        <v>11</v>
      </c>
      <c r="M5" s="2" t="s">
        <v>12</v>
      </c>
      <c r="N5" s="2" t="s">
        <v>13</v>
      </c>
      <c r="O5" s="2" t="s">
        <v>14</v>
      </c>
      <c r="P5" s="2" t="s">
        <v>15</v>
      </c>
      <c r="Q5" s="2" t="s">
        <v>16</v>
      </c>
      <c r="S5" s="7" t="s">
        <v>41</v>
      </c>
    </row>
    <row r="6" customFormat="false" ht="15" hidden="false" customHeight="true" outlineLevel="0" collapsed="false">
      <c r="A6" s="11" t="n">
        <f aca="false">$T$1</f>
        <v>2019</v>
      </c>
      <c r="B6" s="12" t="e">
        <f aca="false">bdh(B$2,B$3,$A6&amp;"1231",$A6&amp;"1231","Fill=NA","Days=A")</f>
        <v>#NAME?</v>
      </c>
      <c r="C6" s="12" t="e">
        <f aca="false">bdh(C$2,C$3,$A6&amp;"1231",$A6&amp;"1231","Fill=NA","Days=A")</f>
        <v>#NAME?</v>
      </c>
      <c r="D6" s="12" t="e">
        <f aca="false">bdh(D$2,D$3,$A6&amp;"1231",$A6&amp;"1231","Fill=NA","Days=A")</f>
        <v>#NAME?</v>
      </c>
      <c r="E6" s="12" t="e">
        <f aca="false">bdh(E$2,E$3,$A6&amp;"1231",$A6&amp;"1231","Fill=NA","Days=A")</f>
        <v>#NAME?</v>
      </c>
      <c r="F6" s="12" t="e">
        <f aca="false">bdh(F$2,F$3,$A6&amp;"1231",$A6&amp;"1231","Fill=NA","Days=A")</f>
        <v>#NAME?</v>
      </c>
      <c r="G6" s="12" t="e">
        <f aca="false">bdh(G$2,G$3,$A6&amp;"1231",$A6&amp;"1231","Fill=NA","Days=A")</f>
        <v>#NAME?</v>
      </c>
      <c r="H6" s="12" t="e">
        <f aca="false">bdh(H$2,H$3,$A6&amp;"1231",$A6&amp;"1231","Fill=NA","Days=A")</f>
        <v>#NAME?</v>
      </c>
      <c r="I6" s="12" t="e">
        <f aca="false">bdh(I$2,I$3,$A6&amp;"1231",$A6&amp;"1231","Fill=NA","Days=A")</f>
        <v>#NAME?</v>
      </c>
      <c r="J6" s="12" t="e">
        <f aca="false">bdh(J$2,J$3,$A6&amp;"1231",$A6&amp;"1231","Fill=NA","Days=A")</f>
        <v>#NAME?</v>
      </c>
      <c r="K6" s="12" t="e">
        <f aca="false">bdh(K$2,K$3,$A6&amp;"1231",$A6&amp;"1231","Fill=NA","Days=A")</f>
        <v>#NAME?</v>
      </c>
      <c r="L6" s="13" t="e">
        <f aca="false">bdh(L$2,L$3,$A6&amp;"1231",$A6&amp;"1231","Fill=NA","Days=A")</f>
        <v>#NAME?</v>
      </c>
      <c r="M6" s="12" t="e">
        <f aca="false">bdh(M$2,M$3,$A6&amp;"1231",$A6&amp;"1231","Fill=NA","Days=A")</f>
        <v>#NAME?</v>
      </c>
      <c r="N6" s="12" t="e">
        <f aca="false">bdh(N$2,N$3,$A6&amp;"1231",$A6&amp;"1231","Fill=NA","Days=A")</f>
        <v>#NAME?</v>
      </c>
      <c r="O6" s="12" t="e">
        <f aca="false">bdh(O$2,O$3,$A6&amp;"1231",$A6&amp;"1231","Fill=NA","Days=A")</f>
        <v>#NAME?</v>
      </c>
      <c r="P6" s="12" t="e">
        <f aca="false">bdh(P$2,P$3,$A6&amp;"1231",$A6&amp;"1231","Fill=NA","Days=A")</f>
        <v>#NAME?</v>
      </c>
      <c r="Q6" s="12" t="e">
        <f aca="false">bdh(Q$2,Q$3,$A6&amp;"1231",$A6&amp;"1231","Fill=NA","Days=A")</f>
        <v>#NAME?</v>
      </c>
      <c r="S6" s="7" t="s">
        <v>42</v>
      </c>
    </row>
    <row r="7" customFormat="false" ht="15" hidden="false" customHeight="true" outlineLevel="0" collapsed="false">
      <c r="A7" s="11" t="n">
        <f aca="false">A6+1</f>
        <v>2020</v>
      </c>
      <c r="B7" s="12" t="e">
        <f aca="false">bdh(B$2,B$3,$A7&amp;"1231",$A7&amp;"1231","Fill=NA","Days=A")</f>
        <v>#NAME?</v>
      </c>
      <c r="C7" s="12" t="e">
        <f aca="false">bdh(C$2,C$3,$A7&amp;"1231",$A7&amp;"1231","Fill=NA","Days=A")</f>
        <v>#NAME?</v>
      </c>
      <c r="D7" s="12" t="e">
        <f aca="false">bdh(D$2,D$3,$A7&amp;"1231",$A7&amp;"1231","Fill=NA","Days=A")</f>
        <v>#NAME?</v>
      </c>
      <c r="E7" s="12" t="e">
        <f aca="false">bdh(E$2,E$3,$A7&amp;"1231",$A7&amp;"1231","Fill=NA","Days=A")</f>
        <v>#NAME?</v>
      </c>
      <c r="F7" s="12" t="e">
        <f aca="false">bdh(F$2,F$3,$A7&amp;"1231",$A7&amp;"1231","Fill=NA","Days=A")</f>
        <v>#NAME?</v>
      </c>
      <c r="G7" s="12" t="e">
        <f aca="false">bdh(G$2,G$3,$A7&amp;"1231",$A7&amp;"1231","Fill=NA","Days=A")</f>
        <v>#NAME?</v>
      </c>
      <c r="H7" s="12" t="e">
        <f aca="false">bdh(H$2,H$3,$A7&amp;"1231",$A7&amp;"1231","Fill=NA","Days=A")</f>
        <v>#NAME?</v>
      </c>
      <c r="I7" s="12" t="e">
        <f aca="false">bdh(I$2,I$3,$A7&amp;"1231",$A7&amp;"1231","Fill=NA","Days=A")</f>
        <v>#NAME?</v>
      </c>
      <c r="J7" s="12" t="e">
        <f aca="false">bdh(J$2,J$3,$A7&amp;"1231",$A7&amp;"1231","Fill=NA","Days=A")</f>
        <v>#NAME?</v>
      </c>
      <c r="K7" s="12" t="e">
        <f aca="false">bdh(K$2,K$3,$A7&amp;"1231",$A7&amp;"1231","Fill=NA","Days=A")</f>
        <v>#NAME?</v>
      </c>
      <c r="L7" s="13" t="e">
        <f aca="false">bdh(L$2,L$3,$A7&amp;"1231",$A7&amp;"1231","Fill=NA","Days=A")</f>
        <v>#NAME?</v>
      </c>
      <c r="M7" s="12" t="e">
        <f aca="false">bdh(M$2,M$3,$A7&amp;"1231",$A7&amp;"1231","Fill=NA","Days=A")</f>
        <v>#NAME?</v>
      </c>
      <c r="N7" s="12" t="e">
        <f aca="false">bdh(N$2,N$3,$A7&amp;"1231",$A7&amp;"1231","Fill=NA","Days=A")</f>
        <v>#NAME?</v>
      </c>
      <c r="O7" s="12" t="e">
        <f aca="false">bdh(O$2,O$3,$A7&amp;"1231",$A7&amp;"1231","Fill=NA","Days=A")</f>
        <v>#NAME?</v>
      </c>
      <c r="P7" s="12" t="e">
        <f aca="false">bdh(P$2,P$3,$A7&amp;"1231",$A7&amp;"1231","Fill=NA","Days=A")</f>
        <v>#NAME?</v>
      </c>
      <c r="Q7" s="12" t="e">
        <f aca="false">bdh(Q$2,Q$3,$A7&amp;"1231",$A7&amp;"1231","Fill=NA","Days=A")</f>
        <v>#NAME?</v>
      </c>
    </row>
    <row r="8" customFormat="false" ht="15" hidden="false" customHeight="true" outlineLevel="0" collapsed="false">
      <c r="A8" s="11" t="n">
        <f aca="false">A7+1</f>
        <v>2021</v>
      </c>
      <c r="B8" s="12" t="e">
        <f aca="false">bdh(B$2,B$3,$A8&amp;"1231",$A8&amp;"1231","Fill=NA","Days=A")</f>
        <v>#NAME?</v>
      </c>
      <c r="C8" s="12" t="e">
        <f aca="false">bdh(C$2,C$3,$A8&amp;"1231",$A8&amp;"1231","Fill=NA","Days=A")</f>
        <v>#NAME?</v>
      </c>
      <c r="D8" s="12" t="e">
        <f aca="false">bdh(D$2,D$3,$A8&amp;"1231",$A8&amp;"1231","Fill=NA","Days=A")</f>
        <v>#NAME?</v>
      </c>
      <c r="E8" s="12" t="e">
        <f aca="false">bdh(E$2,E$3,$A8&amp;"1231",$A8&amp;"1231","Fill=NA","Days=A")</f>
        <v>#NAME?</v>
      </c>
      <c r="F8" s="12" t="e">
        <f aca="false">bdh(F$2,F$3,$A8&amp;"1231",$A8&amp;"1231","Fill=NA","Days=A")</f>
        <v>#NAME?</v>
      </c>
      <c r="G8" s="12" t="e">
        <f aca="false">bdh(G$2,G$3,$A8&amp;"1231",$A8&amp;"1231","Fill=NA","Days=A")</f>
        <v>#NAME?</v>
      </c>
      <c r="H8" s="12" t="e">
        <f aca="false">bdh(H$2,H$3,$A8&amp;"1231",$A8&amp;"1231","Fill=NA","Days=A")</f>
        <v>#NAME?</v>
      </c>
      <c r="I8" s="12" t="e">
        <f aca="false">bdh(I$2,I$3,$A8&amp;"1231",$A8&amp;"1231","Fill=NA","Days=A")</f>
        <v>#NAME?</v>
      </c>
      <c r="J8" s="12" t="e">
        <f aca="false">bdh(J$2,J$3,$A8&amp;"1231",$A8&amp;"1231","Fill=NA","Days=A")</f>
        <v>#NAME?</v>
      </c>
      <c r="K8" s="12" t="e">
        <f aca="false">bdh(K$2,K$3,$A8&amp;"1231",$A8&amp;"1231","Fill=NA","Days=A")</f>
        <v>#NAME?</v>
      </c>
      <c r="L8" s="13" t="e">
        <f aca="false">bdh(L$2,L$3,$A8&amp;"1231",$A8&amp;"1231","Fill=NA","Days=A")</f>
        <v>#NAME?</v>
      </c>
      <c r="M8" s="12" t="e">
        <f aca="false">bdh(M$2,M$3,$A8&amp;"1231",$A8&amp;"1231","Fill=NA","Days=A")</f>
        <v>#NAME?</v>
      </c>
      <c r="N8" s="12" t="e">
        <f aca="false">bdh(N$2,N$3,$A8&amp;"1231",$A8&amp;"1231","Fill=NA","Days=A")</f>
        <v>#NAME?</v>
      </c>
      <c r="O8" s="12" t="e">
        <f aca="false">bdh(O$2,O$3,$A8&amp;"1231",$A8&amp;"1231","Fill=NA","Days=A")</f>
        <v>#NAME?</v>
      </c>
      <c r="P8" s="12" t="e">
        <f aca="false">bdh(P$2,P$3,$A8&amp;"1231",$A8&amp;"1231","Fill=NA","Days=A")</f>
        <v>#NAME?</v>
      </c>
      <c r="Q8" s="12" t="e">
        <f aca="false">bdh(Q$2,Q$3,$A8&amp;"1231",$A8&amp;"1231","Fill=NA","Days=A")</f>
        <v>#NAME?</v>
      </c>
    </row>
    <row r="9" customFormat="false" ht="15" hidden="false" customHeight="true" outlineLevel="0" collapsed="false">
      <c r="A9" s="11" t="n">
        <f aca="false">A8+1</f>
        <v>2022</v>
      </c>
      <c r="B9" s="12" t="e">
        <f aca="false">bdh(B$2,B$3,$A9&amp;"1231",$A9&amp;"1231","Fill=NA","Days=A")</f>
        <v>#NAME?</v>
      </c>
      <c r="C9" s="12" t="e">
        <f aca="false">bdh(C$2,C$3,$A9&amp;"1231",$A9&amp;"1231","Fill=NA","Days=A")</f>
        <v>#NAME?</v>
      </c>
      <c r="D9" s="12" t="e">
        <f aca="false">bdh(D$2,D$3,$A9&amp;"1231",$A9&amp;"1231","Fill=NA","Days=A")</f>
        <v>#NAME?</v>
      </c>
      <c r="E9" s="12" t="e">
        <f aca="false">bdh(E$2,E$3,$A9&amp;"1231",$A9&amp;"1231","Fill=NA","Days=A")</f>
        <v>#NAME?</v>
      </c>
      <c r="F9" s="12" t="e">
        <f aca="false">bdh(F$2,F$3,$A9&amp;"1231",$A9&amp;"1231","Fill=NA","Days=A")</f>
        <v>#NAME?</v>
      </c>
      <c r="G9" s="12" t="e">
        <f aca="false">bdh(G$2,G$3,$A9&amp;"1231",$A9&amp;"1231","Fill=NA","Days=A")</f>
        <v>#NAME?</v>
      </c>
      <c r="H9" s="12" t="e">
        <f aca="false">bdh(H$2,H$3,$A9&amp;"1231",$A9&amp;"1231","Fill=NA","Days=A")</f>
        <v>#NAME?</v>
      </c>
      <c r="I9" s="12" t="e">
        <f aca="false">bdh(I$2,I$3,$A9&amp;"1231",$A9&amp;"1231","Fill=NA","Days=A")</f>
        <v>#NAME?</v>
      </c>
      <c r="J9" s="12" t="e">
        <f aca="false">bdh(J$2,J$3,$A9&amp;"1231",$A9&amp;"1231","Fill=NA","Days=A")</f>
        <v>#NAME?</v>
      </c>
      <c r="K9" s="12" t="e">
        <f aca="false">bdh(K$2,K$3,$A9&amp;"1231",$A9&amp;"1231","Fill=NA","Days=A")</f>
        <v>#NAME?</v>
      </c>
      <c r="L9" s="13" t="e">
        <f aca="false">bdh(L$2,L$3,$A9&amp;"1231",$A9&amp;"1231","Fill=NA","Days=A")</f>
        <v>#NAME?</v>
      </c>
      <c r="M9" s="12" t="e">
        <f aca="false">bdh(M$2,M$3,$A9&amp;"1231",$A9&amp;"1231","Fill=NA","Days=A")</f>
        <v>#NAME?</v>
      </c>
      <c r="N9" s="12" t="e">
        <f aca="false">bdh(N$2,N$3,$A9&amp;"1231",$A9&amp;"1231","Fill=NA","Days=A")</f>
        <v>#NAME?</v>
      </c>
      <c r="O9" s="12" t="e">
        <f aca="false">bdh(O$2,O$3,$A9&amp;"1231",$A9&amp;"1231","Fill=NA","Days=A")</f>
        <v>#NAME?</v>
      </c>
      <c r="P9" s="12" t="e">
        <f aca="false">bdh(P$2,P$3,$A9&amp;"1231",$A9&amp;"1231","Fill=NA","Days=A")</f>
        <v>#NAME?</v>
      </c>
      <c r="Q9" s="12" t="e">
        <f aca="false">bdh(Q$2,Q$3,$A9&amp;"1231",$A9&amp;"1231","Fill=NA","Days=A")</f>
        <v>#NAME?</v>
      </c>
    </row>
    <row r="10" customFormat="false" ht="15" hidden="false" customHeight="true" outlineLevel="0" collapsed="false">
      <c r="A10" s="11" t="n">
        <f aca="false">A9+1</f>
        <v>2023</v>
      </c>
      <c r="B10" s="12" t="e">
        <f aca="false">bdh(B$2,B$3,$A10&amp;"1231",$A10&amp;"1231","Fill=NA","Days=A")</f>
        <v>#NAME?</v>
      </c>
      <c r="C10" s="12" t="e">
        <f aca="false">bdh(C$2,C$3,$A10&amp;"1231",$A10&amp;"1231","Fill=NA","Days=A")</f>
        <v>#NAME?</v>
      </c>
      <c r="D10" s="12" t="e">
        <f aca="false">bdh(D$2,D$3,$A10&amp;"1231",$A10&amp;"1231","Fill=NA","Days=A")</f>
        <v>#NAME?</v>
      </c>
      <c r="E10" s="12" t="e">
        <f aca="false">bdh(E$2,E$3,$A10&amp;"1231",$A10&amp;"1231","Fill=NA","Days=A")</f>
        <v>#NAME?</v>
      </c>
      <c r="F10" s="12" t="e">
        <f aca="false">bdh(F$2,F$3,$A10&amp;"1231",$A10&amp;"1231","Fill=NA","Days=A")</f>
        <v>#NAME?</v>
      </c>
      <c r="G10" s="12" t="e">
        <f aca="false">bdh(G$2,G$3,$A10&amp;"1231",$A10&amp;"1231","Fill=NA","Days=A")</f>
        <v>#NAME?</v>
      </c>
      <c r="H10" s="12" t="e">
        <f aca="false">bdh(H$2,H$3,$A10&amp;"1231",$A10&amp;"1231","Fill=NA","Days=A")</f>
        <v>#NAME?</v>
      </c>
      <c r="I10" s="12" t="e">
        <f aca="false">bdh(I$2,I$3,$A10&amp;"1231",$A10&amp;"1231","Fill=NA","Days=A")</f>
        <v>#NAME?</v>
      </c>
      <c r="J10" s="12" t="e">
        <f aca="false">bdh(J$2,J$3,$A10&amp;"1231",$A10&amp;"1231","Fill=NA","Days=A")</f>
        <v>#NAME?</v>
      </c>
      <c r="K10" s="12" t="e">
        <f aca="false">bdh(K$2,K$3,$A10&amp;"1231",$A10&amp;"1231","Fill=NA","Days=A")</f>
        <v>#NAME?</v>
      </c>
      <c r="L10" s="13" t="e">
        <f aca="false">bdh(L$2,L$3,$A10&amp;"1231",$A10&amp;"1231","Fill=NA","Days=A")</f>
        <v>#NAME?</v>
      </c>
      <c r="M10" s="12" t="e">
        <f aca="false">bdh(M$2,M$3,$A10&amp;"1231",$A10&amp;"1231","Fill=NA","Days=A")</f>
        <v>#NAME?</v>
      </c>
      <c r="N10" s="12" t="e">
        <f aca="false">bdh(N$2,N$3,$A10&amp;"1231",$A10&amp;"1231","Fill=NA","Days=A")</f>
        <v>#NAME?</v>
      </c>
      <c r="O10" s="12" t="e">
        <f aca="false">bdh(O$2,O$3,$A10&amp;"1231",$A10&amp;"1231","Fill=NA","Days=A")</f>
        <v>#NAME?</v>
      </c>
      <c r="P10" s="12" t="e">
        <f aca="false">bdh(P$2,P$3,$A10&amp;"1231",$A10&amp;"1231","Fill=NA","Days=A")</f>
        <v>#NAME?</v>
      </c>
      <c r="Q10" s="12" t="e">
        <f aca="false">bdh(Q$2,Q$3,$A10&amp;"1231",$A10&amp;"1231","Fill=NA","Days=A")</f>
        <v>#NAME?</v>
      </c>
    </row>
    <row r="11" customFormat="false" ht="15" hidden="false" customHeight="true" outlineLevel="0" collapsed="false">
      <c r="A11" s="11" t="n">
        <f aca="false">A10+1</f>
        <v>2024</v>
      </c>
      <c r="B11" s="12" t="e">
        <f aca="false">bdh(B$2,B$3,$A11&amp;"1231",$A11&amp;"1231","Fill=NA","Days=A")</f>
        <v>#NAME?</v>
      </c>
      <c r="C11" s="12" t="e">
        <f aca="false">bdh(C$2,C$3,$A11&amp;"1231",$A11&amp;"1231","Fill=NA","Days=A")</f>
        <v>#NAME?</v>
      </c>
      <c r="D11" s="12" t="e">
        <f aca="false">bdh(D$2,D$3,$A11&amp;"1231",$A11&amp;"1231","Fill=NA","Days=A")</f>
        <v>#NAME?</v>
      </c>
      <c r="E11" s="12" t="e">
        <f aca="false">bdh(E$2,E$3,$A11&amp;"1231",$A11&amp;"1231","Fill=NA","Days=A")</f>
        <v>#NAME?</v>
      </c>
      <c r="F11" s="12" t="e">
        <f aca="false">bdh(F$2,F$3,$A11&amp;"1231",$A11&amp;"1231","Fill=NA","Days=A")</f>
        <v>#NAME?</v>
      </c>
      <c r="G11" s="12" t="e">
        <f aca="false">bdh(G$2,G$3,$A11&amp;"1231",$A11&amp;"1231","Fill=NA","Days=A")</f>
        <v>#NAME?</v>
      </c>
      <c r="H11" s="12" t="e">
        <f aca="false">bdh(H$2,H$3,$A11&amp;"1231",$A11&amp;"1231","Fill=NA","Days=A")</f>
        <v>#NAME?</v>
      </c>
      <c r="I11" s="12" t="e">
        <f aca="false">bdh(I$2,I$3,$A11&amp;"1231",$A11&amp;"1231","Fill=NA","Days=A")</f>
        <v>#NAME?</v>
      </c>
      <c r="J11" s="12" t="e">
        <f aca="false">bdh(J$2,J$3,$A11&amp;"1231",$A11&amp;"1231","Fill=NA","Days=A")</f>
        <v>#NAME?</v>
      </c>
      <c r="K11" s="12" t="e">
        <f aca="false">bdh(K$2,K$3,$A11&amp;"1231",$A11&amp;"1231","Fill=NA","Days=A")</f>
        <v>#NAME?</v>
      </c>
      <c r="L11" s="13" t="e">
        <f aca="false">bdh(L$2,L$3,$A11&amp;"1231",$A11&amp;"1231","Fill=NA","Days=A")</f>
        <v>#NAME?</v>
      </c>
      <c r="M11" s="12" t="e">
        <f aca="false">bdh(M$2,M$3,$A11&amp;"1231",$A11&amp;"1231","Fill=NA","Days=A")</f>
        <v>#NAME?</v>
      </c>
      <c r="N11" s="12" t="e">
        <f aca="false">bdh(N$2,N$3,$A11&amp;"1231",$A11&amp;"1231","Fill=NA","Days=A")</f>
        <v>#NAME?</v>
      </c>
      <c r="O11" s="12" t="e">
        <f aca="false">bdh(O$2,O$3,$A11&amp;"1231",$A11&amp;"1231","Fill=NA","Days=A")</f>
        <v>#NAME?</v>
      </c>
      <c r="P11" s="12" t="e">
        <f aca="false">bdh(P$2,P$3,$A11&amp;"1231",$A11&amp;"1231","Fill=NA","Days=A")</f>
        <v>#NAME?</v>
      </c>
      <c r="Q11" s="12" t="e">
        <f aca="false">bdh(Q$2,Q$3,$A11&amp;"1231",$A11&amp;"1231","Fill=NA","Days=A")</f>
        <v>#NAME?</v>
      </c>
    </row>
    <row r="12" customFormat="false" ht="15" hidden="false" customHeight="true" outlineLevel="0" collapsed="false">
      <c r="A12" s="14" t="s">
        <v>43</v>
      </c>
      <c r="B12" s="15" t="e">
        <f aca="false">bdp($B$2,"TRAIL_12M_SALES_REV_TURN")</f>
        <v>#NAME?</v>
      </c>
      <c r="C12" s="15" t="e">
        <f aca="false">bdp($B$2,"TRAIL_12M_OPER_INC")</f>
        <v>#NAME?</v>
      </c>
      <c r="D12" s="15" t="e">
        <f aca="false">bdp($B$2,"TRAIL_12M_EBITDA")</f>
        <v>#NAME?</v>
      </c>
      <c r="E12" s="15" t="e">
        <f aca="false">bdp($B$2,"TRAIL_12M_DEPR_AMORT")</f>
        <v>#NAME?</v>
      </c>
      <c r="F12" s="15" t="e">
        <f aca="false">bdp($B$2,"TRAIL_12M_INC_TAX_EXP")</f>
        <v>#NAME?</v>
      </c>
      <c r="G12" s="15" t="e">
        <f aca="false">bdp($B$2,"TRAIL_12M_INT_EXPENSE")</f>
        <v>#NAME?</v>
      </c>
      <c r="H12" s="15" t="e">
        <f aca="false">bdp($B$2,"TRAIL_12M_NET_INC")</f>
        <v>#NAME?</v>
      </c>
      <c r="I12" s="15" t="e">
        <f aca="false">bdp($B$2,"SHORT_AND_LONG_TERM_DEBT")</f>
        <v>#NAME?</v>
      </c>
      <c r="J12" s="15" t="e">
        <f aca="false">bdp($B$2,"BS_CASH_NEAR_CASH_ITEM")</f>
        <v>#NAME?</v>
      </c>
      <c r="K12" s="15" t="e">
        <f aca="false">bdp($B$2,"MINORITY_INTEREST")</f>
        <v>#NAME?</v>
      </c>
      <c r="L12" s="16" t="e">
        <f aca="false">bdp($B$2,"EQY_SH_OUT")</f>
        <v>#NAME?</v>
      </c>
      <c r="M12" s="15" t="e">
        <f aca="false">bdp($B$2,"TOT_COMMON_EQY")</f>
        <v>#NAME?</v>
      </c>
      <c r="N12" s="15" t="e">
        <f aca="false">bdp($B$2,"BS_TOT_ASSET")</f>
        <v>#NAME?</v>
      </c>
      <c r="O12" s="15" t="e">
        <f aca="false">bdp($B$2,"TRAIL_12M_CAP_EXPEND")</f>
        <v>#NAME?</v>
      </c>
      <c r="P12" s="15" t="e">
        <f aca="false">bdp($B$2,"TRAIL_12M_CASH_FROM_OPER")</f>
        <v>#NAME?</v>
      </c>
      <c r="Q12" s="15" t="e">
        <f aca="false">bdp($B$2,"TRAIL_12M_CHG_WORK_CAP")</f>
        <v>#NAME?</v>
      </c>
    </row>
    <row r="13" customFormat="false" ht="15" hidden="false" customHeight="true" outlineLevel="0" collapsed="false">
      <c r="A13" s="17" t="s">
        <v>44</v>
      </c>
      <c r="B13" s="18" t="e">
        <f aca="false">bdp($B$2,"BEST_SALES")</f>
        <v>#NAME?</v>
      </c>
      <c r="C13" s="18" t="e">
        <f aca="false">bdp($B$2,"BEST_OPER_INCOME")</f>
        <v>#NAME?</v>
      </c>
      <c r="D13" s="18" t="e">
        <f aca="false">bdp($B$2,"BEST_EBITDA")</f>
        <v>#NAME?</v>
      </c>
      <c r="E13" s="19"/>
      <c r="F13" s="19"/>
      <c r="G13" s="19"/>
      <c r="H13" s="18" t="e">
        <f aca="false">bdp($B$2,"BEST_NET_INCOME")</f>
        <v>#NAME?</v>
      </c>
      <c r="I13" s="19"/>
      <c r="J13" s="19"/>
      <c r="K13" s="19"/>
      <c r="L13" s="19"/>
      <c r="M13" s="19"/>
      <c r="N13" s="19"/>
      <c r="O13" s="18" t="e">
        <f aca="false">bdp($B$2,"BEST_CAPEX")</f>
        <v>#NAME?</v>
      </c>
      <c r="P13" s="19"/>
      <c r="Q13" s="19"/>
    </row>
    <row r="15" customFormat="false" ht="15" hidden="false" customHeight="true" outlineLevel="0" collapsed="false">
      <c r="A15" s="9" t="s">
        <v>45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</row>
    <row r="16" customFormat="false" ht="15" hidden="false" customHeight="true" outlineLevel="0" collapsed="false">
      <c r="A16" s="2" t="s">
        <v>40</v>
      </c>
      <c r="B16" s="2" t="s">
        <v>1</v>
      </c>
      <c r="C16" s="2" t="s">
        <v>2</v>
      </c>
      <c r="D16" s="2" t="s">
        <v>3</v>
      </c>
      <c r="E16" s="2" t="s">
        <v>4</v>
      </c>
      <c r="F16" s="2" t="s">
        <v>5</v>
      </c>
      <c r="G16" s="2" t="s">
        <v>6</v>
      </c>
      <c r="H16" s="2" t="s">
        <v>7</v>
      </c>
      <c r="I16" s="2" t="s">
        <v>8</v>
      </c>
      <c r="J16" s="2" t="s">
        <v>9</v>
      </c>
      <c r="K16" s="2" t="s">
        <v>10</v>
      </c>
      <c r="L16" s="2" t="s">
        <v>11</v>
      </c>
      <c r="M16" s="2" t="s">
        <v>12</v>
      </c>
      <c r="N16" s="2" t="s">
        <v>13</v>
      </c>
      <c r="O16" s="2" t="s">
        <v>14</v>
      </c>
      <c r="P16" s="2" t="s">
        <v>15</v>
      </c>
      <c r="Q16" s="2" t="s">
        <v>16</v>
      </c>
    </row>
    <row r="17" customFormat="false" ht="15" hidden="false" customHeight="true" outlineLevel="0" collapsed="false">
      <c r="A17" s="11" t="n">
        <f aca="false">$T$1</f>
        <v>2019</v>
      </c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1"/>
      <c r="M17" s="20"/>
      <c r="N17" s="20"/>
      <c r="O17" s="20"/>
      <c r="P17" s="20"/>
      <c r="Q17" s="20"/>
    </row>
    <row r="18" customFormat="false" ht="15" hidden="false" customHeight="true" outlineLevel="0" collapsed="false">
      <c r="A18" s="11" t="n">
        <f aca="false">A17+1</f>
        <v>2020</v>
      </c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1"/>
      <c r="M18" s="20"/>
      <c r="N18" s="20"/>
      <c r="O18" s="20"/>
      <c r="P18" s="20"/>
      <c r="Q18" s="20"/>
    </row>
    <row r="19" customFormat="false" ht="15" hidden="false" customHeight="true" outlineLevel="0" collapsed="false">
      <c r="A19" s="11" t="n">
        <f aca="false">A18+1</f>
        <v>2021</v>
      </c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1"/>
      <c r="M19" s="20"/>
      <c r="N19" s="20"/>
      <c r="O19" s="20"/>
      <c r="P19" s="20"/>
      <c r="Q19" s="20"/>
    </row>
    <row r="20" customFormat="false" ht="15" hidden="false" customHeight="true" outlineLevel="0" collapsed="false">
      <c r="A20" s="11" t="n">
        <f aca="false">A19+1</f>
        <v>2022</v>
      </c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1"/>
      <c r="M20" s="20"/>
      <c r="N20" s="20"/>
      <c r="O20" s="20"/>
      <c r="P20" s="20"/>
      <c r="Q20" s="20"/>
    </row>
    <row r="21" customFormat="false" ht="15" hidden="false" customHeight="true" outlineLevel="0" collapsed="false">
      <c r="A21" s="11" t="n">
        <f aca="false">A20+1</f>
        <v>2023</v>
      </c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1"/>
      <c r="M21" s="20"/>
      <c r="N21" s="20"/>
      <c r="O21" s="20"/>
      <c r="P21" s="20"/>
      <c r="Q21" s="20"/>
    </row>
    <row r="22" customFormat="false" ht="15" hidden="false" customHeight="true" outlineLevel="0" collapsed="false">
      <c r="A22" s="11" t="n">
        <f aca="false">A21+1</f>
        <v>2024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1"/>
      <c r="M22" s="20"/>
      <c r="N22" s="20"/>
      <c r="O22" s="20"/>
      <c r="P22" s="20"/>
      <c r="Q22" s="20"/>
    </row>
    <row r="23" customFormat="false" ht="15" hidden="false" customHeight="true" outlineLevel="0" collapsed="false">
      <c r="A23" s="14" t="s">
        <v>43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6"/>
      <c r="M23" s="15"/>
      <c r="N23" s="15"/>
      <c r="O23" s="15"/>
      <c r="P23" s="15"/>
      <c r="Q23" s="15"/>
    </row>
    <row r="24" customFormat="false" ht="15" hidden="false" customHeight="true" outlineLevel="0" collapsed="false">
      <c r="A24" s="17" t="s">
        <v>44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22"/>
      <c r="M24" s="18"/>
      <c r="N24" s="18"/>
      <c r="O24" s="18"/>
      <c r="P24" s="18"/>
      <c r="Q24" s="18"/>
    </row>
    <row r="26" customFormat="false" ht="15" hidden="false" customHeight="true" outlineLevel="0" collapsed="false">
      <c r="A26" s="9" t="s">
        <v>46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</row>
    <row r="27" customFormat="false" ht="15" hidden="false" customHeight="true" outlineLevel="0" collapsed="false">
      <c r="A27" s="2" t="s">
        <v>40</v>
      </c>
      <c r="B27" s="2" t="s">
        <v>47</v>
      </c>
      <c r="C27" s="2" t="s">
        <v>48</v>
      </c>
      <c r="D27" s="2" t="s">
        <v>49</v>
      </c>
      <c r="E27" s="2" t="s">
        <v>50</v>
      </c>
      <c r="F27" s="2" t="s">
        <v>51</v>
      </c>
      <c r="G27" s="2" t="s">
        <v>52</v>
      </c>
      <c r="H27" s="2" t="s">
        <v>53</v>
      </c>
      <c r="I27" s="2" t="s">
        <v>54</v>
      </c>
      <c r="J27" s="2" t="s">
        <v>55</v>
      </c>
      <c r="K27" s="2" t="s">
        <v>56</v>
      </c>
      <c r="L27" s="2" t="s">
        <v>57</v>
      </c>
      <c r="M27" s="2" t="s">
        <v>58</v>
      </c>
    </row>
    <row r="28" customFormat="false" ht="15" hidden="false" customHeight="true" outlineLevel="0" collapsed="false">
      <c r="A28" s="11" t="n">
        <f aca="false">$T$1</f>
        <v>2019</v>
      </c>
      <c r="B28" s="23"/>
      <c r="C28" s="23" t="str">
        <f aca="false">IFERROR(C17/B17,"")</f>
        <v/>
      </c>
      <c r="D28" s="23" t="str">
        <f aca="false">IFERROR(D17/B17,"")</f>
        <v/>
      </c>
      <c r="E28" s="23" t="str">
        <f aca="false">IFERROR(E17/B17,"")</f>
        <v/>
      </c>
      <c r="F28" s="23" t="str">
        <f aca="false">IFERROR(ABS(O17)/B17,"")</f>
        <v/>
      </c>
      <c r="G28" s="23" t="str">
        <f aca="false">IFERROR(Q17/B17,"")</f>
        <v/>
      </c>
      <c r="H28" s="23" t="str">
        <f aca="false">IFERROR(F17/C17,"")</f>
        <v/>
      </c>
      <c r="I28" s="24" t="str">
        <f aca="false">IFERROR(C17*(1-H28),"")</f>
        <v/>
      </c>
      <c r="J28" s="24" t="n">
        <f aca="false">IFERROR(M17+I17-J17,"")</f>
        <v>0</v>
      </c>
      <c r="K28" s="23" t="str">
        <f aca="false">IFERROR(I28/J28,"")</f>
        <v/>
      </c>
      <c r="L28" s="24" t="str">
        <f aca="false">IFERROR(I28+E17-ABS(O17)-Q17,"")</f>
        <v/>
      </c>
      <c r="M28" s="23" t="str">
        <f aca="false">IFERROR(L28/B17,"")</f>
        <v/>
      </c>
    </row>
    <row r="29" customFormat="false" ht="15" hidden="false" customHeight="true" outlineLevel="0" collapsed="false">
      <c r="A29" s="11" t="n">
        <f aca="false">A28+1</f>
        <v>2020</v>
      </c>
      <c r="B29" s="23" t="str">
        <f aca="false">IFERROR(B18/B17-1,"")</f>
        <v/>
      </c>
      <c r="C29" s="23" t="str">
        <f aca="false">IFERROR(C18/B18,"")</f>
        <v/>
      </c>
      <c r="D29" s="23" t="str">
        <f aca="false">IFERROR(D18/B18,"")</f>
        <v/>
      </c>
      <c r="E29" s="23" t="str">
        <f aca="false">IFERROR(E18/B18,"")</f>
        <v/>
      </c>
      <c r="F29" s="23" t="str">
        <f aca="false">IFERROR(ABS(O18)/B18,"")</f>
        <v/>
      </c>
      <c r="G29" s="23" t="str">
        <f aca="false">IFERROR(Q18/B18,"")</f>
        <v/>
      </c>
      <c r="H29" s="23" t="str">
        <f aca="false">IFERROR(F18/C18,"")</f>
        <v/>
      </c>
      <c r="I29" s="24" t="str">
        <f aca="false">IFERROR(C18*(1-H29),"")</f>
        <v/>
      </c>
      <c r="J29" s="24" t="n">
        <f aca="false">IFERROR(M18+I18-J18,"")</f>
        <v>0</v>
      </c>
      <c r="K29" s="23" t="str">
        <f aca="false">IFERROR(I29/J29,"")</f>
        <v/>
      </c>
      <c r="L29" s="24" t="str">
        <f aca="false">IFERROR(I29+E18-ABS(O18)-Q18,"")</f>
        <v/>
      </c>
      <c r="M29" s="23" t="str">
        <f aca="false">IFERROR(L29/B18,"")</f>
        <v/>
      </c>
    </row>
    <row r="30" customFormat="false" ht="15" hidden="false" customHeight="true" outlineLevel="0" collapsed="false">
      <c r="A30" s="11" t="n">
        <f aca="false">A29+1</f>
        <v>2021</v>
      </c>
      <c r="B30" s="23" t="str">
        <f aca="false">IFERROR(B19/B18-1,"")</f>
        <v/>
      </c>
      <c r="C30" s="23" t="str">
        <f aca="false">IFERROR(C19/B19,"")</f>
        <v/>
      </c>
      <c r="D30" s="23" t="str">
        <f aca="false">IFERROR(D19/B19,"")</f>
        <v/>
      </c>
      <c r="E30" s="23" t="str">
        <f aca="false">IFERROR(E19/B19,"")</f>
        <v/>
      </c>
      <c r="F30" s="23" t="str">
        <f aca="false">IFERROR(ABS(O19)/B19,"")</f>
        <v/>
      </c>
      <c r="G30" s="23" t="str">
        <f aca="false">IFERROR(Q19/B19,"")</f>
        <v/>
      </c>
      <c r="H30" s="23" t="str">
        <f aca="false">IFERROR(F19/C19,"")</f>
        <v/>
      </c>
      <c r="I30" s="24" t="str">
        <f aca="false">IFERROR(C19*(1-H30),"")</f>
        <v/>
      </c>
      <c r="J30" s="24" t="n">
        <f aca="false">IFERROR(M19+I19-J19,"")</f>
        <v>0</v>
      </c>
      <c r="K30" s="23" t="str">
        <f aca="false">IFERROR(I30/J30,"")</f>
        <v/>
      </c>
      <c r="L30" s="24" t="str">
        <f aca="false">IFERROR(I30+E19-ABS(O19)-Q19,"")</f>
        <v/>
      </c>
      <c r="M30" s="23" t="str">
        <f aca="false">IFERROR(L30/B19,"")</f>
        <v/>
      </c>
    </row>
    <row r="31" customFormat="false" ht="15" hidden="false" customHeight="true" outlineLevel="0" collapsed="false">
      <c r="A31" s="11" t="n">
        <f aca="false">A30+1</f>
        <v>2022</v>
      </c>
      <c r="B31" s="23" t="str">
        <f aca="false">IFERROR(B20/B19-1,"")</f>
        <v/>
      </c>
      <c r="C31" s="23" t="str">
        <f aca="false">IFERROR(C20/B20,"")</f>
        <v/>
      </c>
      <c r="D31" s="23" t="str">
        <f aca="false">IFERROR(D20/B20,"")</f>
        <v/>
      </c>
      <c r="E31" s="23" t="str">
        <f aca="false">IFERROR(E20/B20,"")</f>
        <v/>
      </c>
      <c r="F31" s="23" t="str">
        <f aca="false">IFERROR(ABS(O20)/B20,"")</f>
        <v/>
      </c>
      <c r="G31" s="23" t="str">
        <f aca="false">IFERROR(Q20/B20,"")</f>
        <v/>
      </c>
      <c r="H31" s="23" t="str">
        <f aca="false">IFERROR(F20/C20,"")</f>
        <v/>
      </c>
      <c r="I31" s="24" t="str">
        <f aca="false">IFERROR(C20*(1-H31),"")</f>
        <v/>
      </c>
      <c r="J31" s="24" t="n">
        <f aca="false">IFERROR(M20+I20-J20,"")</f>
        <v>0</v>
      </c>
      <c r="K31" s="23" t="str">
        <f aca="false">IFERROR(I31/J31,"")</f>
        <v/>
      </c>
      <c r="L31" s="24" t="str">
        <f aca="false">IFERROR(I31+E20-ABS(O20)-Q20,"")</f>
        <v/>
      </c>
      <c r="M31" s="23" t="str">
        <f aca="false">IFERROR(L31/B20,"")</f>
        <v/>
      </c>
    </row>
    <row r="32" customFormat="false" ht="15" hidden="false" customHeight="true" outlineLevel="0" collapsed="false">
      <c r="A32" s="11" t="n">
        <f aca="false">A31+1</f>
        <v>2023</v>
      </c>
      <c r="B32" s="23" t="str">
        <f aca="false">IFERROR(B21/B20-1,"")</f>
        <v/>
      </c>
      <c r="C32" s="23" t="str">
        <f aca="false">IFERROR(C21/B21,"")</f>
        <v/>
      </c>
      <c r="D32" s="23" t="str">
        <f aca="false">IFERROR(D21/B21,"")</f>
        <v/>
      </c>
      <c r="E32" s="23" t="str">
        <f aca="false">IFERROR(E21/B21,"")</f>
        <v/>
      </c>
      <c r="F32" s="23" t="str">
        <f aca="false">IFERROR(ABS(O21)/B21,"")</f>
        <v/>
      </c>
      <c r="G32" s="23" t="str">
        <f aca="false">IFERROR(Q21/B21,"")</f>
        <v/>
      </c>
      <c r="H32" s="23" t="str">
        <f aca="false">IFERROR(F21/C21,"")</f>
        <v/>
      </c>
      <c r="I32" s="24" t="str">
        <f aca="false">IFERROR(C21*(1-H32),"")</f>
        <v/>
      </c>
      <c r="J32" s="24" t="n">
        <f aca="false">IFERROR(M21+I21-J21,"")</f>
        <v>0</v>
      </c>
      <c r="K32" s="23" t="str">
        <f aca="false">IFERROR(I32/J32,"")</f>
        <v/>
      </c>
      <c r="L32" s="24" t="str">
        <f aca="false">IFERROR(I32+E21-ABS(O21)-Q21,"")</f>
        <v/>
      </c>
      <c r="M32" s="23" t="str">
        <f aca="false">IFERROR(L32/B21,"")</f>
        <v/>
      </c>
    </row>
    <row r="33" customFormat="false" ht="15" hidden="false" customHeight="true" outlineLevel="0" collapsed="false">
      <c r="A33" s="11" t="n">
        <f aca="false">A32+1</f>
        <v>2024</v>
      </c>
      <c r="B33" s="23" t="str">
        <f aca="false">IFERROR(B22/B21-1,"")</f>
        <v/>
      </c>
      <c r="C33" s="23" t="str">
        <f aca="false">IFERROR(C22/B22,"")</f>
        <v/>
      </c>
      <c r="D33" s="23" t="str">
        <f aca="false">IFERROR(D22/B22,"")</f>
        <v/>
      </c>
      <c r="E33" s="23" t="str">
        <f aca="false">IFERROR(E22/B22,"")</f>
        <v/>
      </c>
      <c r="F33" s="23" t="str">
        <f aca="false">IFERROR(ABS(O22)/B22,"")</f>
        <v/>
      </c>
      <c r="G33" s="23" t="str">
        <f aca="false">IFERROR(Q22/B22,"")</f>
        <v/>
      </c>
      <c r="H33" s="23" t="str">
        <f aca="false">IFERROR(F22/C22,"")</f>
        <v/>
      </c>
      <c r="I33" s="24" t="str">
        <f aca="false">IFERROR(C22*(1-H33),"")</f>
        <v/>
      </c>
      <c r="J33" s="24" t="n">
        <f aca="false">IFERROR(M22+I22-J22,"")</f>
        <v>0</v>
      </c>
      <c r="K33" s="23" t="str">
        <f aca="false">IFERROR(I33/J33,"")</f>
        <v/>
      </c>
      <c r="L33" s="24" t="str">
        <f aca="false">IFERROR(I33+E22-ABS(O22)-Q22,"")</f>
        <v/>
      </c>
      <c r="M33" s="23" t="str">
        <f aca="false">IFERROR(L33/B22,"")</f>
        <v/>
      </c>
    </row>
    <row r="35" customFormat="false" ht="15" hidden="false" customHeight="true" outlineLevel="0" collapsed="false">
      <c r="A35" s="9" t="s">
        <v>59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</row>
    <row r="36" customFormat="false" ht="15" hidden="false" customHeight="true" outlineLevel="0" collapsed="false">
      <c r="A36" s="25" t="s">
        <v>60</v>
      </c>
      <c r="B36" s="23" t="str">
        <f aca="false">IFERROR((B22/B17)^(1/6)-1,"")</f>
        <v/>
      </c>
    </row>
    <row r="37" customFormat="false" ht="15" hidden="false" customHeight="true" outlineLevel="0" collapsed="false">
      <c r="A37" s="25" t="s">
        <v>61</v>
      </c>
      <c r="B37" s="23" t="str">
        <f aca="false">IFERROR((B22/B19)^(1/3)-1,"")</f>
        <v/>
      </c>
    </row>
    <row r="38" customFormat="false" ht="15" hidden="false" customHeight="true" outlineLevel="0" collapsed="false">
      <c r="A38" s="25" t="s">
        <v>62</v>
      </c>
      <c r="B38" s="23" t="str">
        <f aca="false">IFERROR(MEDIAN(C28:C33),"")</f>
        <v/>
      </c>
    </row>
    <row r="39" customFormat="false" ht="15" hidden="false" customHeight="true" outlineLevel="0" collapsed="false">
      <c r="A39" s="25" t="s">
        <v>63</v>
      </c>
      <c r="B39" s="23" t="str">
        <f aca="false">IFERROR(MEDIAN(K28:K33),"")</f>
        <v/>
      </c>
    </row>
    <row r="40" customFormat="false" ht="15" hidden="false" customHeight="true" outlineLevel="0" collapsed="false">
      <c r="A40" s="25" t="s">
        <v>64</v>
      </c>
      <c r="B40" s="23" t="str">
        <f aca="false">IFERROR(AVERAGE(H28:H33),"")</f>
        <v/>
      </c>
    </row>
    <row r="41" customFormat="false" ht="15" hidden="false" customHeight="true" outlineLevel="0" collapsed="false">
      <c r="A41" s="25" t="s">
        <v>65</v>
      </c>
      <c r="B41" s="23" t="str">
        <f aca="false">IFERROR(AVERAGE(M28:M33),"")</f>
        <v/>
      </c>
    </row>
    <row r="42" customFormat="false" ht="15" hidden="false" customHeight="true" outlineLevel="0" collapsed="false">
      <c r="A42" s="25" t="s">
        <v>66</v>
      </c>
      <c r="B42" s="23" t="n">
        <f aca="false">IFERROR(MAX(B29:B33),"")</f>
        <v>0</v>
      </c>
    </row>
    <row r="43" customFormat="false" ht="15" hidden="false" customHeight="true" outlineLevel="0" collapsed="false">
      <c r="A43" s="25" t="s">
        <v>67</v>
      </c>
      <c r="B43" s="23" t="n">
        <f aca="false">IFERROR(MIN(B29:B33),"")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26B43"/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16"/>
    <col collapsed="false" customWidth="true" hidden="false" outlineLevel="0" max="4" min="4" style="1" width="28"/>
  </cols>
  <sheetData>
    <row r="1" customFormat="false" ht="15" hidden="false" customHeight="true" outlineLevel="0" collapsed="false">
      <c r="A1" s="25" t="s">
        <v>68</v>
      </c>
      <c r="B1" s="26" t="str">
        <f aca="false">Fundamentals!B2</f>
        <v>NESN SW Equity</v>
      </c>
    </row>
    <row r="3" customFormat="false" ht="15" hidden="false" customHeight="true" outlineLevel="0" collapsed="false">
      <c r="A3" s="2" t="s">
        <v>21</v>
      </c>
      <c r="B3" s="2" t="s">
        <v>69</v>
      </c>
      <c r="C3" s="2" t="s">
        <v>70</v>
      </c>
      <c r="D3" s="2" t="s">
        <v>71</v>
      </c>
    </row>
    <row r="4" customFormat="false" ht="15" hidden="false" customHeight="true" outlineLevel="0" collapsed="false">
      <c r="A4" s="25" t="s">
        <v>72</v>
      </c>
      <c r="B4" s="13" t="e">
        <f aca="false">bdp($B$1,"PX_LAST")</f>
        <v>#NAME?</v>
      </c>
      <c r="C4" s="21"/>
      <c r="D4" s="27" t="s">
        <v>73</v>
      </c>
    </row>
    <row r="5" customFormat="false" ht="15" hidden="false" customHeight="true" outlineLevel="0" collapsed="false">
      <c r="A5" s="25" t="s">
        <v>74</v>
      </c>
      <c r="B5" s="12" t="e">
        <f aca="false">bdp($B$1,"CUR_MKT_CAP")</f>
        <v>#NAME?</v>
      </c>
      <c r="C5" s="20"/>
      <c r="D5" s="27" t="s">
        <v>75</v>
      </c>
    </row>
    <row r="6" customFormat="false" ht="15" hidden="false" customHeight="true" outlineLevel="0" collapsed="false">
      <c r="A6" s="25" t="s">
        <v>11</v>
      </c>
      <c r="B6" s="13" t="e">
        <f aca="false">bdp($B$1,"EQY_SH_OUT")</f>
        <v>#NAME?</v>
      </c>
      <c r="C6" s="21"/>
      <c r="D6" s="27" t="s">
        <v>76</v>
      </c>
    </row>
    <row r="7" customFormat="false" ht="15" hidden="false" customHeight="true" outlineLevel="0" collapsed="false">
      <c r="A7" s="25" t="s">
        <v>77</v>
      </c>
      <c r="B7" s="12" t="e">
        <f aca="false">bdp($B$1,"ENTERPRISE_VALUE")</f>
        <v>#NAME?</v>
      </c>
      <c r="C7" s="20"/>
      <c r="D7" s="27" t="s">
        <v>78</v>
      </c>
    </row>
    <row r="8" customFormat="false" ht="15" hidden="false" customHeight="true" outlineLevel="0" collapsed="false">
      <c r="A8" s="25" t="s">
        <v>79</v>
      </c>
      <c r="B8" s="28" t="e">
        <f aca="false">bdp($B$1,"BETA_RAW_OVERRIDABLE")</f>
        <v>#NAME?</v>
      </c>
      <c r="C8" s="29"/>
      <c r="D8" s="27" t="s">
        <v>80</v>
      </c>
    </row>
    <row r="9" customFormat="false" ht="15" hidden="false" customHeight="true" outlineLevel="0" collapsed="false">
      <c r="A9" s="25" t="s">
        <v>81</v>
      </c>
      <c r="B9" s="28" t="e">
        <f aca="false">bdp($B$1,"BETA_ADJ_OVERRIDABLE")</f>
        <v>#NAME?</v>
      </c>
      <c r="C9" s="29"/>
      <c r="D9" s="27" t="s">
        <v>82</v>
      </c>
    </row>
    <row r="10" customFormat="false" ht="15" hidden="false" customHeight="true" outlineLevel="0" collapsed="false">
      <c r="A10" s="25" t="s">
        <v>83</v>
      </c>
      <c r="B10" s="30" t="e">
        <f aca="false">bdp($B$1,"WACC")</f>
        <v>#NAME?</v>
      </c>
      <c r="C10" s="31"/>
      <c r="D10" s="27" t="s">
        <v>84</v>
      </c>
    </row>
    <row r="11" customFormat="false" ht="15" hidden="false" customHeight="true" outlineLevel="0" collapsed="false">
      <c r="A11" s="25" t="s">
        <v>56</v>
      </c>
      <c r="B11" s="30" t="e">
        <f aca="false">bdp($B$1,"RETURN_ON_INV_CAPITAL")</f>
        <v>#NAME?</v>
      </c>
      <c r="C11" s="31"/>
      <c r="D11" s="27" t="s">
        <v>85</v>
      </c>
    </row>
    <row r="12" customFormat="false" ht="15" hidden="false" customHeight="true" outlineLevel="0" collapsed="false">
      <c r="A12" s="25" t="s">
        <v>86</v>
      </c>
      <c r="B12" s="30" t="e">
        <f aca="false">bdp($B$1,"EQY_DVD_YLD_12M")</f>
        <v>#NAME?</v>
      </c>
      <c r="C12" s="31"/>
      <c r="D12" s="27" t="s">
        <v>87</v>
      </c>
    </row>
    <row r="13" customFormat="false" ht="15" hidden="false" customHeight="true" outlineLevel="0" collapsed="false">
      <c r="A13" s="25" t="s">
        <v>88</v>
      </c>
      <c r="B13" s="28" t="e">
        <f aca="false">bdp($B$1,"TOT_DEBT_TO_TOT_EQY")</f>
        <v>#NAME?</v>
      </c>
      <c r="C13" s="29"/>
      <c r="D13" s="27" t="s">
        <v>89</v>
      </c>
    </row>
    <row r="14" customFormat="false" ht="15" hidden="false" customHeight="true" outlineLevel="0" collapsed="false">
      <c r="A14" s="25" t="s">
        <v>90</v>
      </c>
      <c r="B14" s="30" t="e">
        <f aca="false">bdp($B$1,"OPER_MARGIN")</f>
        <v>#NAME?</v>
      </c>
      <c r="C14" s="31"/>
      <c r="D14" s="27" t="s">
        <v>91</v>
      </c>
    </row>
    <row r="15" customFormat="false" ht="15" hidden="false" customHeight="true" outlineLevel="0" collapsed="false">
      <c r="A15" s="25" t="s">
        <v>92</v>
      </c>
      <c r="B15" s="12" t="e">
        <f aca="false">bdp($B$1,"BEST_SALES")</f>
        <v>#NAME?</v>
      </c>
      <c r="C15" s="20"/>
      <c r="D15" s="27" t="s">
        <v>93</v>
      </c>
    </row>
    <row r="16" customFormat="false" ht="15" hidden="false" customHeight="true" outlineLevel="0" collapsed="false">
      <c r="A16" s="25" t="s">
        <v>94</v>
      </c>
      <c r="B16" s="13" t="e">
        <f aca="false">bdp($B$1,"BEST_EPS")</f>
        <v>#NAME?</v>
      </c>
      <c r="C16" s="21"/>
      <c r="D16" s="27" t="s">
        <v>95</v>
      </c>
    </row>
    <row r="18" customFormat="false" ht="15" hidden="false" customHeight="true" outlineLevel="0" collapsed="false">
      <c r="A18" s="32" t="s">
        <v>96</v>
      </c>
    </row>
    <row r="19" customFormat="false" ht="15" hidden="false" customHeight="true" outlineLevel="0" collapsed="false">
      <c r="A19" s="25" t="s">
        <v>97</v>
      </c>
      <c r="C19" s="33" t="n">
        <f aca="false">Fundamentals!I22-Fundamentals!J22</f>
        <v>0</v>
      </c>
    </row>
    <row r="20" customFormat="false" ht="15" hidden="false" customHeight="true" outlineLevel="0" collapsed="false">
      <c r="A20" s="25" t="s">
        <v>10</v>
      </c>
      <c r="C20" s="33" t="n">
        <f aca="false">Fundamentals!K22</f>
        <v>0</v>
      </c>
    </row>
    <row r="21" customFormat="false" ht="15" hidden="false" customHeight="true" outlineLevel="0" collapsed="false">
      <c r="A21" s="25" t="s">
        <v>98</v>
      </c>
      <c r="C21" s="33" t="n">
        <f aca="false">C5+C19+C20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4" min="3" style="1" width="14"/>
  </cols>
  <sheetData>
    <row r="1" customFormat="false" ht="15.75" hidden="false" customHeight="true" outlineLevel="0" collapsed="false">
      <c r="A1" s="34" t="s">
        <v>99</v>
      </c>
    </row>
    <row r="3" customFormat="false" ht="15" hidden="false" customHeight="true" outlineLevel="0" collapsed="false">
      <c r="A3" s="2" t="s">
        <v>100</v>
      </c>
      <c r="B3" s="2" t="s">
        <v>18</v>
      </c>
      <c r="C3" s="2" t="s">
        <v>69</v>
      </c>
      <c r="D3" s="2" t="s">
        <v>70</v>
      </c>
    </row>
    <row r="4" customFormat="false" ht="15" hidden="false" customHeight="true" outlineLevel="0" collapsed="false">
      <c r="A4" s="25" t="s">
        <v>101</v>
      </c>
      <c r="B4" s="27" t="s">
        <v>102</v>
      </c>
      <c r="C4" s="35" t="e">
        <f aca="false">bdp("SF10YT=RR Index","PX_LAST")/100</f>
        <v>#NAME?</v>
      </c>
      <c r="D4" s="36"/>
    </row>
    <row r="5" customFormat="false" ht="15" hidden="false" customHeight="true" outlineLevel="0" collapsed="false">
      <c r="A5" s="25" t="s">
        <v>103</v>
      </c>
      <c r="B5" s="27" t="s">
        <v>104</v>
      </c>
      <c r="C5" s="35" t="e">
        <f aca="false">bdp("GDBR10 Index","PX_LAST")/100</f>
        <v>#NAME?</v>
      </c>
      <c r="D5" s="36"/>
    </row>
    <row r="6" customFormat="false" ht="15" hidden="false" customHeight="true" outlineLevel="0" collapsed="false">
      <c r="A6" s="25" t="s">
        <v>105</v>
      </c>
      <c r="B6" s="27" t="s">
        <v>106</v>
      </c>
      <c r="C6" s="35" t="e">
        <f aca="false">bdp("USGG10YR Index","PX_LAST")/100</f>
        <v>#NAME?</v>
      </c>
      <c r="D6" s="36"/>
    </row>
    <row r="7" customFormat="false" ht="15" hidden="false" customHeight="true" outlineLevel="0" collapsed="false">
      <c r="A7" s="25" t="s">
        <v>107</v>
      </c>
      <c r="B7" s="27" t="s">
        <v>108</v>
      </c>
      <c r="C7" s="35" t="e">
        <f aca="false">bdp("GUKG10 Index","PX_LAST")/100</f>
        <v>#NAME?</v>
      </c>
      <c r="D7" s="36"/>
    </row>
    <row r="8" customFormat="false" ht="15" hidden="false" customHeight="true" outlineLevel="0" collapsed="false">
      <c r="A8" s="25" t="s">
        <v>109</v>
      </c>
      <c r="B8" s="27" t="s">
        <v>110</v>
      </c>
      <c r="C8" s="35" t="e">
        <f aca="false">bdp("JGBS10 Index","PX_LAST")/100</f>
        <v>#NAME?</v>
      </c>
      <c r="D8" s="36"/>
    </row>
    <row r="10" customFormat="false" ht="15" hidden="false" customHeight="true" outlineLevel="0" collapsed="false">
      <c r="A10" s="9" t="s">
        <v>111</v>
      </c>
      <c r="B10" s="10"/>
      <c r="C10" s="10"/>
      <c r="D10" s="10"/>
    </row>
    <row r="11" customFormat="false" ht="15" hidden="false" customHeight="true" outlineLevel="0" collapsed="false">
      <c r="A11" s="2" t="s">
        <v>100</v>
      </c>
      <c r="B11" s="2" t="s">
        <v>112</v>
      </c>
      <c r="C11" s="2" t="s">
        <v>113</v>
      </c>
      <c r="D11" s="2" t="s">
        <v>114</v>
      </c>
    </row>
    <row r="12" customFormat="false" ht="15" hidden="false" customHeight="true" outlineLevel="0" collapsed="false">
      <c r="A12" s="25" t="s">
        <v>101</v>
      </c>
      <c r="B12" s="37" t="n">
        <v>0.015</v>
      </c>
      <c r="C12" s="37" t="n">
        <v>0.01</v>
      </c>
      <c r="D12" s="23" t="n">
        <f aca="false">IFERROR((1+B12)*(1+C12)-1,"")</f>
        <v>0.02515</v>
      </c>
    </row>
    <row r="13" customFormat="false" ht="15" hidden="false" customHeight="true" outlineLevel="0" collapsed="false">
      <c r="A13" s="25" t="s">
        <v>103</v>
      </c>
      <c r="B13" s="37" t="n">
        <v>0.012</v>
      </c>
      <c r="C13" s="37" t="n">
        <v>0.02</v>
      </c>
      <c r="D13" s="23" t="n">
        <f aca="false">IFERROR((1+B13)*(1+C13)-1,"")</f>
        <v>0.03224</v>
      </c>
    </row>
    <row r="14" customFormat="false" ht="15" hidden="false" customHeight="true" outlineLevel="0" collapsed="false">
      <c r="A14" s="25" t="s">
        <v>105</v>
      </c>
      <c r="B14" s="37" t="n">
        <v>0.02</v>
      </c>
      <c r="C14" s="37" t="n">
        <v>0.025</v>
      </c>
      <c r="D14" s="23" t="n">
        <f aca="false">IFERROR((1+B14)*(1+C14)-1,"")</f>
        <v>0.0454999999999999</v>
      </c>
    </row>
    <row r="15" customFormat="false" ht="15" hidden="false" customHeight="true" outlineLevel="0" collapsed="false">
      <c r="A15" s="25" t="s">
        <v>107</v>
      </c>
      <c r="B15" s="37" t="n">
        <v>0.015</v>
      </c>
      <c r="C15" s="37" t="n">
        <v>0.02</v>
      </c>
      <c r="D15" s="23" t="n">
        <f aca="false">IFERROR((1+B15)*(1+C15)-1,"")</f>
        <v>0.0352999999999999</v>
      </c>
    </row>
    <row r="16" customFormat="false" ht="15" hidden="false" customHeight="true" outlineLevel="0" collapsed="false">
      <c r="A16" s="25" t="s">
        <v>109</v>
      </c>
      <c r="B16" s="37" t="n">
        <v>0.008</v>
      </c>
      <c r="C16" s="37" t="n">
        <v>0.015</v>
      </c>
      <c r="D16" s="23" t="n">
        <f aca="false">IFERROR((1+B16)*(1+C16)-1,"")</f>
        <v>0.0231199999999998</v>
      </c>
    </row>
    <row r="17" customFormat="false" ht="15" hidden="false" customHeight="true" outlineLevel="0" collapsed="false">
      <c r="A17" s="25" t="s">
        <v>115</v>
      </c>
      <c r="B17" s="37" t="n">
        <v>0.04</v>
      </c>
      <c r="C17" s="37" t="n">
        <v>0.035</v>
      </c>
      <c r="D17" s="23" t="n">
        <f aca="false">IFERROR((1+B17)*(1+C17)-1,"")</f>
        <v>0.0764</v>
      </c>
    </row>
    <row r="19" customFormat="false" ht="15" hidden="false" customHeight="true" outlineLevel="0" collapsed="false">
      <c r="A19" s="9" t="s">
        <v>116</v>
      </c>
      <c r="B19" s="10"/>
      <c r="C19" s="10"/>
      <c r="D19" s="10"/>
    </row>
    <row r="20" customFormat="false" ht="15" hidden="false" customHeight="true" outlineLevel="0" collapsed="false">
      <c r="A20" s="2" t="s">
        <v>117</v>
      </c>
      <c r="B20" s="2" t="s">
        <v>116</v>
      </c>
    </row>
    <row r="21" customFormat="false" ht="15" hidden="false" customHeight="true" outlineLevel="0" collapsed="false">
      <c r="A21" s="25" t="s">
        <v>118</v>
      </c>
      <c r="B21" s="37" t="n">
        <v>0.048</v>
      </c>
    </row>
    <row r="22" customFormat="false" ht="15" hidden="false" customHeight="true" outlineLevel="0" collapsed="false">
      <c r="A22" s="25" t="s">
        <v>119</v>
      </c>
      <c r="B22" s="37" t="n">
        <v>0.05</v>
      </c>
    </row>
    <row r="23" customFormat="false" ht="15" hidden="false" customHeight="true" outlineLevel="0" collapsed="false">
      <c r="A23" s="25" t="s">
        <v>120</v>
      </c>
      <c r="B23" s="37" t="n">
        <v>0.055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BAE40"/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3" min="2" style="1" width="12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6" min="6" style="1" width="14"/>
  </cols>
  <sheetData>
    <row r="1" customFormat="false" ht="15.75" hidden="false" customHeight="true" outlineLevel="0" collapsed="false">
      <c r="A1" s="34" t="s">
        <v>84</v>
      </c>
    </row>
    <row r="3" customFormat="false" ht="15" hidden="false" customHeight="true" outlineLevel="0" collapsed="false">
      <c r="A3" s="2" t="s">
        <v>121</v>
      </c>
      <c r="B3" s="2" t="s">
        <v>122</v>
      </c>
      <c r="C3" s="2" t="s">
        <v>123</v>
      </c>
      <c r="D3" s="2" t="s">
        <v>124</v>
      </c>
      <c r="E3" s="2" t="s">
        <v>125</v>
      </c>
      <c r="F3" s="2" t="s">
        <v>126</v>
      </c>
    </row>
    <row r="4" customFormat="false" ht="15" hidden="false" customHeight="true" outlineLevel="0" collapsed="false">
      <c r="A4" s="25" t="s">
        <v>127</v>
      </c>
      <c r="B4" s="38" t="n">
        <f aca="false">Macro!D4</f>
        <v>0</v>
      </c>
      <c r="C4" s="39" t="n">
        <v>0.008</v>
      </c>
      <c r="D4" s="40" t="s">
        <v>122</v>
      </c>
      <c r="E4" s="41" t="n">
        <f aca="false">IFERROR(IF(D4="Manual",C4,B4),C4)</f>
        <v>0</v>
      </c>
      <c r="F4" s="27" t="s">
        <v>128</v>
      </c>
    </row>
    <row r="5" customFormat="false" ht="15" hidden="false" customHeight="true" outlineLevel="0" collapsed="false">
      <c r="A5" s="25" t="s">
        <v>116</v>
      </c>
      <c r="B5" s="38" t="n">
        <f aca="false">Macro!B23</f>
        <v>0.055</v>
      </c>
      <c r="C5" s="39" t="n">
        <v>0.055</v>
      </c>
      <c r="D5" s="40" t="s">
        <v>122</v>
      </c>
      <c r="E5" s="41" t="n">
        <f aca="false">IFERROR(IF(D5="Manual",C5,B5),C5)</f>
        <v>0.055</v>
      </c>
      <c r="F5" s="27" t="s">
        <v>129</v>
      </c>
    </row>
    <row r="6" customFormat="false" ht="15" hidden="false" customHeight="true" outlineLevel="0" collapsed="false">
      <c r="A6" s="25" t="s">
        <v>130</v>
      </c>
      <c r="B6" s="42" t="n">
        <f aca="false">Current!C9</f>
        <v>0</v>
      </c>
      <c r="C6" s="43" t="n">
        <v>0.7</v>
      </c>
      <c r="D6" s="40" t="s">
        <v>122</v>
      </c>
      <c r="E6" s="44" t="n">
        <f aca="false">IFERROR(IF(D6="Manual",C6,B6),C6)</f>
        <v>0</v>
      </c>
      <c r="F6" s="27" t="s">
        <v>131</v>
      </c>
    </row>
    <row r="7" customFormat="false" ht="15" hidden="false" customHeight="true" outlineLevel="0" collapsed="false">
      <c r="A7" s="25" t="s">
        <v>132</v>
      </c>
      <c r="B7" s="45"/>
      <c r="C7" s="45"/>
      <c r="D7" s="8" t="s">
        <v>133</v>
      </c>
      <c r="E7" s="46" t="n">
        <f aca="false">IFERROR(E4+E6*E5,"")</f>
        <v>0</v>
      </c>
      <c r="F7" s="27" t="s">
        <v>134</v>
      </c>
    </row>
    <row r="8" customFormat="false" ht="15" hidden="false" customHeight="true" outlineLevel="0" collapsed="false">
      <c r="A8" s="25" t="s">
        <v>135</v>
      </c>
      <c r="B8" s="45"/>
      <c r="C8" s="39" t="n">
        <v>0.015</v>
      </c>
      <c r="D8" s="40" t="s">
        <v>123</v>
      </c>
      <c r="E8" s="41" t="n">
        <f aca="false">IFERROR(IF(D8="Manual",C8,B8),C8)</f>
        <v>0.015</v>
      </c>
      <c r="F8" s="27" t="s">
        <v>123</v>
      </c>
    </row>
    <row r="9" customFormat="false" ht="15" hidden="false" customHeight="true" outlineLevel="0" collapsed="false">
      <c r="A9" s="25" t="s">
        <v>136</v>
      </c>
      <c r="B9" s="47" t="str">
        <f aca="false">Fundamentals!B40</f>
        <v/>
      </c>
      <c r="C9" s="37" t="n">
        <v>0.22</v>
      </c>
      <c r="D9" s="40" t="s">
        <v>122</v>
      </c>
      <c r="E9" s="48" t="str">
        <f aca="false">IFERROR(IF(D9="Manual",C9,B9),C9)</f>
        <v/>
      </c>
      <c r="F9" s="27" t="s">
        <v>137</v>
      </c>
    </row>
    <row r="10" customFormat="false" ht="15" hidden="false" customHeight="true" outlineLevel="0" collapsed="false">
      <c r="A10" s="25" t="s">
        <v>138</v>
      </c>
      <c r="B10" s="45"/>
      <c r="C10" s="45"/>
      <c r="D10" s="8" t="s">
        <v>133</v>
      </c>
      <c r="E10" s="46" t="str">
        <f aca="false">IFERROR(E8*(1-E9),"")</f>
        <v/>
      </c>
      <c r="F10" s="27" t="s">
        <v>139</v>
      </c>
    </row>
    <row r="11" customFormat="false" ht="15" hidden="false" customHeight="true" outlineLevel="0" collapsed="false">
      <c r="A11" s="25" t="s">
        <v>140</v>
      </c>
      <c r="B11" s="49"/>
      <c r="C11" s="37" t="n">
        <v>0.87</v>
      </c>
      <c r="D11" s="40" t="s">
        <v>123</v>
      </c>
      <c r="E11" s="48" t="n">
        <f aca="false">IFERROR(IF(D11="Manual",C11,B11),C11)</f>
        <v>0.87</v>
      </c>
      <c r="F11" s="27" t="s">
        <v>141</v>
      </c>
    </row>
    <row r="12" customFormat="false" ht="15" hidden="false" customHeight="true" outlineLevel="0" collapsed="false">
      <c r="A12" s="25" t="s">
        <v>142</v>
      </c>
      <c r="B12" s="49"/>
      <c r="C12" s="49"/>
      <c r="D12" s="8" t="s">
        <v>133</v>
      </c>
      <c r="E12" s="23" t="n">
        <f aca="false">IFERROR(1-E11,"")</f>
        <v>0.13</v>
      </c>
      <c r="F12" s="27" t="s">
        <v>143</v>
      </c>
    </row>
    <row r="13" customFormat="false" ht="15" hidden="false" customHeight="true" outlineLevel="0" collapsed="false">
      <c r="A13" s="25" t="s">
        <v>84</v>
      </c>
      <c r="B13" s="45"/>
      <c r="C13" s="45"/>
      <c r="D13" s="8" t="s">
        <v>133</v>
      </c>
      <c r="E13" s="50" t="str">
        <f aca="false">IFERROR(E11*E7+E12*E10,"")</f>
        <v/>
      </c>
      <c r="F13" s="27" t="s">
        <v>144</v>
      </c>
    </row>
    <row r="14" customFormat="false" ht="15" hidden="false" customHeight="true" outlineLevel="0" collapsed="false">
      <c r="A14" s="25" t="s">
        <v>145</v>
      </c>
      <c r="B14" s="47" t="n">
        <f aca="false">Macro!D12</f>
        <v>0.02515</v>
      </c>
      <c r="C14" s="37" t="n">
        <v>0.02</v>
      </c>
      <c r="D14" s="40" t="s">
        <v>122</v>
      </c>
      <c r="E14" s="48" t="n">
        <f aca="false">IFERROR(IF(D14="Manual",C14,B14),C14)</f>
        <v>0.02515</v>
      </c>
      <c r="F14" s="27" t="s">
        <v>111</v>
      </c>
    </row>
    <row r="15" customFormat="false" ht="15" hidden="false" customHeight="true" outlineLevel="0" collapsed="false">
      <c r="A15" s="25" t="s">
        <v>146</v>
      </c>
      <c r="B15" s="47" t="str">
        <f aca="false">Fundamentals!B38</f>
        <v/>
      </c>
      <c r="C15" s="37" t="n">
        <v>0.15</v>
      </c>
      <c r="D15" s="40" t="s">
        <v>122</v>
      </c>
      <c r="E15" s="48" t="str">
        <f aca="false">IFERROR(IF(D15="Manual",C15,B15),C15)</f>
        <v/>
      </c>
      <c r="F15" s="27" t="s">
        <v>147</v>
      </c>
    </row>
    <row r="16" customFormat="false" ht="15" hidden="false" customHeight="true" outlineLevel="0" collapsed="false">
      <c r="A16" s="25" t="s">
        <v>148</v>
      </c>
      <c r="B16" s="51"/>
      <c r="C16" s="52" t="n">
        <v>5</v>
      </c>
      <c r="D16" s="40" t="s">
        <v>123</v>
      </c>
      <c r="E16" s="53" t="n">
        <f aca="false">IFERROR(IF(D16="Manual",C16,B16),C16)</f>
        <v>5</v>
      </c>
      <c r="F16" s="27"/>
    </row>
    <row r="17" customFormat="false" ht="15" hidden="false" customHeight="true" outlineLevel="0" collapsed="false">
      <c r="A17" s="25" t="s">
        <v>149</v>
      </c>
      <c r="B17" s="49"/>
      <c r="C17" s="37" t="n">
        <v>0.03</v>
      </c>
      <c r="D17" s="40" t="s">
        <v>123</v>
      </c>
      <c r="E17" s="48" t="n">
        <f aca="false">IFERROR(IF(D17="Manual",C17,B17),C17)</f>
        <v>0.03</v>
      </c>
      <c r="F17" s="27" t="s">
        <v>150</v>
      </c>
    </row>
    <row r="18" customFormat="false" ht="15" hidden="false" customHeight="true" outlineLevel="0" collapsed="false">
      <c r="A18" s="25" t="s">
        <v>151</v>
      </c>
      <c r="B18" s="49"/>
      <c r="C18" s="37" t="n">
        <v>-0.03</v>
      </c>
      <c r="D18" s="40" t="s">
        <v>123</v>
      </c>
      <c r="E18" s="48" t="n">
        <f aca="false">IFERROR(IF(D18="Manual",C18,B18),C18)</f>
        <v>-0.03</v>
      </c>
      <c r="F18" s="27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0"/>
  </cols>
  <sheetData>
    <row r="1" customFormat="false" ht="15.75" hidden="false" customHeight="true" outlineLevel="0" collapsed="false">
      <c r="A1" s="34" t="s">
        <v>153</v>
      </c>
    </row>
    <row r="3" customFormat="false" ht="15" hidden="false" customHeight="true" outlineLevel="0" collapsed="false">
      <c r="A3" s="54" t="s">
        <v>154</v>
      </c>
    </row>
    <row r="4" customFormat="false" ht="15" hidden="false" customHeight="true" outlineLevel="0" collapsed="false">
      <c r="A4" s="54" t="s">
        <v>155</v>
      </c>
    </row>
    <row r="5" customFormat="false" ht="15" hidden="false" customHeight="true" outlineLevel="0" collapsed="false">
      <c r="A5" s="54" t="s">
        <v>156</v>
      </c>
    </row>
    <row r="6" customFormat="false" ht="15" hidden="false" customHeight="true" outlineLevel="0" collapsed="false">
      <c r="A6" s="54" t="s">
        <v>157</v>
      </c>
    </row>
    <row r="7" customFormat="false" ht="15" hidden="false" customHeight="true" outlineLevel="0" collapsed="false">
      <c r="A7" s="54" t="s">
        <v>158</v>
      </c>
    </row>
    <row r="8" customFormat="false" ht="15" hidden="false" customHeight="true" outlineLevel="0" collapsed="false">
      <c r="A8" s="54" t="s">
        <v>159</v>
      </c>
    </row>
    <row r="9" customFormat="false" ht="15" hidden="false" customHeight="true" outlineLevel="0" collapsed="false">
      <c r="A9" s="54" t="s">
        <v>160</v>
      </c>
    </row>
    <row r="10" customFormat="false" ht="15" hidden="false" customHeight="true" outlineLevel="0" collapsed="false">
      <c r="A10" s="54" t="s">
        <v>161</v>
      </c>
    </row>
    <row r="11" customFormat="false" ht="15" hidden="false" customHeight="true" outlineLevel="0" collapsed="false">
      <c r="A11" s="54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2026-03-19T10:28:53Z</dcterms:created>
  <dc:creator>openpyxl</dc:creator>
  <dc:description/>
  <dc:language>en-US</dc:language>
  <cp:lastModifiedBy/>
  <dcterms:modified xsi:type="dcterms:W3CDTF">2026-03-19T10:37:48Z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