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Common\GON Bloomberg\A_PF_Constr\Reverse DCF\"/>
    </mc:Choice>
  </mc:AlternateContent>
  <xr:revisionPtr revIDLastSave="0" documentId="13_ncr:1_{4ABB2928-7412-4700-AA72-C8B60A32FC75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Fundamentals" sheetId="1" r:id="rId1"/>
    <sheet name="Current" sheetId="2" r:id="rId2"/>
    <sheet name="Macro" sheetId="3" r:id="rId3"/>
    <sheet name="WACC" sheetId="4" r:id="rId4"/>
    <sheet name="Instruction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3" l="1"/>
  <c r="K10" i="1" a="1"/>
  <c r="K11" i="1" a="1"/>
  <c r="K7" i="1" a="1"/>
  <c r="K9" i="1" a="1"/>
  <c r="K8" i="1" a="1"/>
  <c r="K6" i="1" a="1"/>
  <c r="D13" i="1"/>
  <c r="G12" i="1"/>
  <c r="B12" i="1"/>
  <c r="K6" i="1" l="1"/>
  <c r="K8" i="1"/>
  <c r="K9" i="1"/>
  <c r="K7" i="1"/>
  <c r="K11" i="1"/>
  <c r="K10" i="1"/>
  <c r="C2" i="1"/>
  <c r="Q7" i="1" a="1"/>
  <c r="Q9" i="1" a="1"/>
  <c r="Q11" i="1" a="1"/>
  <c r="Q10" i="1" a="1"/>
  <c r="Q6" i="1" a="1"/>
  <c r="Q8" i="1" a="1"/>
  <c r="P9" i="1" a="1"/>
  <c r="P8" i="1" a="1"/>
  <c r="P10" i="1" a="1"/>
  <c r="P6" i="1" a="1"/>
  <c r="P11" i="1" a="1"/>
  <c r="P7" i="1" a="1"/>
  <c r="C6" i="1" a="1"/>
  <c r="C11" i="1" a="1"/>
  <c r="C8" i="1" a="1"/>
  <c r="C10" i="1" a="1"/>
  <c r="C7" i="1" a="1"/>
  <c r="C9" i="1" a="1"/>
  <c r="M12" i="1"/>
  <c r="B13" i="2"/>
  <c r="B14" i="2"/>
  <c r="B4" i="2"/>
  <c r="I12" i="1"/>
  <c r="N12" i="1"/>
  <c r="B11" i="2"/>
  <c r="E12" i="1"/>
  <c r="P12" i="1"/>
  <c r="Q12" i="1"/>
  <c r="O12" i="1"/>
  <c r="B10" i="2"/>
  <c r="J12" i="1"/>
  <c r="L12" i="1"/>
  <c r="B6" i="2"/>
  <c r="B13" i="1"/>
  <c r="B15" i="2"/>
  <c r="O13" i="1"/>
  <c r="H12" i="1"/>
  <c r="B8" i="2"/>
  <c r="C12" i="1"/>
  <c r="B7" i="2"/>
  <c r="C13" i="1"/>
  <c r="F12" i="1"/>
  <c r="B12" i="2"/>
  <c r="B9" i="2"/>
  <c r="B5" i="2"/>
  <c r="H13" i="1"/>
  <c r="K12" i="1"/>
  <c r="D12" i="1"/>
  <c r="B16" i="2"/>
  <c r="N7" i="1" a="1"/>
  <c r="N6" i="1" a="1"/>
  <c r="C6" i="3"/>
  <c r="C7" i="3"/>
  <c r="C5" i="3"/>
  <c r="C8" i="3"/>
  <c r="Q6" i="1" l="1"/>
  <c r="Q10" i="1"/>
  <c r="Q11" i="1"/>
  <c r="Q9" i="1"/>
  <c r="Q7" i="1"/>
  <c r="Q8" i="1"/>
  <c r="P9" i="1"/>
  <c r="P6" i="1"/>
  <c r="P10" i="1"/>
  <c r="P8" i="1"/>
  <c r="P7" i="1"/>
  <c r="P11" i="1"/>
  <c r="C6" i="1"/>
  <c r="C8" i="1"/>
  <c r="C11" i="1"/>
  <c r="C10" i="1"/>
  <c r="C9" i="1"/>
  <c r="C7" i="1"/>
  <c r="N6" i="1"/>
  <c r="N7" i="1"/>
  <c r="E18" i="4"/>
  <c r="E17" i="4"/>
  <c r="E16" i="4"/>
  <c r="B14" i="4"/>
  <c r="E14" i="4" s="1"/>
  <c r="E12" i="4"/>
  <c r="E11" i="4"/>
  <c r="E8" i="4"/>
  <c r="E6" i="4"/>
  <c r="B6" i="4"/>
  <c r="E5" i="4"/>
  <c r="B5" i="4"/>
  <c r="B4" i="4"/>
  <c r="E4" i="4" s="1"/>
  <c r="D17" i="3"/>
  <c r="D16" i="3"/>
  <c r="D15" i="3"/>
  <c r="D14" i="3"/>
  <c r="D13" i="3"/>
  <c r="D12" i="3"/>
  <c r="C20" i="2"/>
  <c r="C19" i="2"/>
  <c r="B1" i="2"/>
  <c r="B37" i="1"/>
  <c r="B36" i="1"/>
  <c r="J33" i="1"/>
  <c r="H33" i="1"/>
  <c r="I33" i="1" s="1"/>
  <c r="G33" i="1"/>
  <c r="F33" i="1"/>
  <c r="E33" i="1"/>
  <c r="D33" i="1"/>
  <c r="C33" i="1"/>
  <c r="B33" i="1"/>
  <c r="J32" i="1"/>
  <c r="H32" i="1"/>
  <c r="I32" i="1" s="1"/>
  <c r="G32" i="1"/>
  <c r="F32" i="1"/>
  <c r="E32" i="1"/>
  <c r="D32" i="1"/>
  <c r="C32" i="1"/>
  <c r="B32" i="1"/>
  <c r="J31" i="1"/>
  <c r="H31" i="1"/>
  <c r="I31" i="1" s="1"/>
  <c r="G31" i="1"/>
  <c r="F31" i="1"/>
  <c r="E31" i="1"/>
  <c r="D31" i="1"/>
  <c r="C31" i="1"/>
  <c r="B31" i="1"/>
  <c r="J30" i="1"/>
  <c r="H30" i="1"/>
  <c r="I30" i="1" s="1"/>
  <c r="G30" i="1"/>
  <c r="F30" i="1"/>
  <c r="E30" i="1"/>
  <c r="D30" i="1"/>
  <c r="C30" i="1"/>
  <c r="B30" i="1"/>
  <c r="A30" i="1"/>
  <c r="A31" i="1" s="1"/>
  <c r="A32" i="1" s="1"/>
  <c r="A33" i="1" s="1"/>
  <c r="J29" i="1"/>
  <c r="H29" i="1"/>
  <c r="I29" i="1" s="1"/>
  <c r="G29" i="1"/>
  <c r="F29" i="1"/>
  <c r="E29" i="1"/>
  <c r="D29" i="1"/>
  <c r="C29" i="1"/>
  <c r="B29" i="1"/>
  <c r="B42" i="1" s="1"/>
  <c r="A29" i="1"/>
  <c r="J28" i="1"/>
  <c r="H28" i="1"/>
  <c r="G28" i="1"/>
  <c r="F28" i="1"/>
  <c r="E28" i="1"/>
  <c r="D28" i="1"/>
  <c r="C28" i="1"/>
  <c r="B38" i="1" s="1"/>
  <c r="B15" i="4" s="1"/>
  <c r="E15" i="4" s="1"/>
  <c r="A28" i="1"/>
  <c r="A18" i="1"/>
  <c r="A19" i="1" s="1"/>
  <c r="A20" i="1" s="1"/>
  <c r="A21" i="1" s="1"/>
  <c r="A22" i="1" s="1"/>
  <c r="A17" i="1"/>
  <c r="A9" i="1"/>
  <c r="A8" i="1"/>
  <c r="A7" i="1"/>
  <c r="A6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B6" i="1" a="1"/>
  <c r="D8" i="1" a="1"/>
  <c r="F11" i="1" a="1"/>
  <c r="L11" i="1" a="1"/>
  <c r="F7" i="1" a="1"/>
  <c r="E10" i="1" a="1"/>
  <c r="I8" i="1" a="1"/>
  <c r="I9" i="1" a="1"/>
  <c r="J7" i="1" a="1"/>
  <c r="L8" i="1" a="1"/>
  <c r="D7" i="1" a="1"/>
  <c r="H6" i="1" a="1"/>
  <c r="M9" i="1" a="1"/>
  <c r="N10" i="1" a="1"/>
  <c r="E8" i="1" a="1"/>
  <c r="H7" i="1" a="1"/>
  <c r="O6" i="1" a="1"/>
  <c r="O9" i="1" a="1"/>
  <c r="F8" i="1" a="1"/>
  <c r="M6" i="1" a="1"/>
  <c r="B8" i="1" a="1"/>
  <c r="G11" i="1" a="1"/>
  <c r="O7" i="1" a="1"/>
  <c r="H10" i="1" a="1"/>
  <c r="F9" i="1" a="1"/>
  <c r="M10" i="1" a="1"/>
  <c r="D11" i="1" a="1"/>
  <c r="H11" i="1" a="1"/>
  <c r="E9" i="1" a="1"/>
  <c r="I7" i="1" a="1"/>
  <c r="I11" i="1" a="1"/>
  <c r="I6" i="1" a="1"/>
  <c r="G9" i="1" a="1"/>
  <c r="J10" i="1" a="1"/>
  <c r="G10" i="1" a="1"/>
  <c r="O11" i="1" a="1"/>
  <c r="O8" i="1" a="1"/>
  <c r="D9" i="1" a="1"/>
  <c r="F10" i="1" a="1"/>
  <c r="F6" i="1" a="1"/>
  <c r="B9" i="1" a="1"/>
  <c r="I10" i="1" a="1"/>
  <c r="D6" i="1" a="1"/>
  <c r="L9" i="1" a="1"/>
  <c r="L6" i="1" a="1"/>
  <c r="J8" i="1" a="1"/>
  <c r="N11" i="1" a="1"/>
  <c r="N9" i="1" a="1"/>
  <c r="G7" i="1" a="1"/>
  <c r="H9" i="1" a="1"/>
  <c r="B7" i="1" a="1"/>
  <c r="H8" i="1" a="1"/>
  <c r="L7" i="1" a="1"/>
  <c r="J11" i="1" a="1"/>
  <c r="D10" i="1" a="1"/>
  <c r="E11" i="1" a="1"/>
  <c r="E6" i="1" a="1"/>
  <c r="N8" i="1" a="1"/>
  <c r="B10" i="1" a="1"/>
  <c r="L10" i="1" a="1"/>
  <c r="M8" i="1" a="1"/>
  <c r="O10" i="1" a="1"/>
  <c r="M11" i="1" a="1"/>
  <c r="B11" i="1" a="1"/>
  <c r="E7" i="1" a="1"/>
  <c r="G6" i="1" a="1"/>
  <c r="G8" i="1" a="1"/>
  <c r="M7" i="1" a="1"/>
  <c r="J6" i="1" a="1"/>
  <c r="J9" i="1" a="1"/>
  <c r="E7" i="4" l="1"/>
  <c r="K32" i="1"/>
  <c r="L32" i="1"/>
  <c r="M32" i="1" s="1"/>
  <c r="L30" i="1"/>
  <c r="M30" i="1" s="1"/>
  <c r="K30" i="1"/>
  <c r="C21" i="2"/>
  <c r="B40" i="1"/>
  <c r="B9" i="4" s="1"/>
  <c r="E9" i="4" s="1"/>
  <c r="E10" i="4" s="1"/>
  <c r="B43" i="1"/>
  <c r="J9" i="1"/>
  <c r="J6" i="1"/>
  <c r="M7" i="1"/>
  <c r="G8" i="1"/>
  <c r="G6" i="1"/>
  <c r="E7" i="1"/>
  <c r="B11" i="1"/>
  <c r="M11" i="1"/>
  <c r="O10" i="1"/>
  <c r="M8" i="1"/>
  <c r="L10" i="1"/>
  <c r="B10" i="1"/>
  <c r="N8" i="1"/>
  <c r="E6" i="1"/>
  <c r="E11" i="1"/>
  <c r="D10" i="1"/>
  <c r="J11" i="1"/>
  <c r="L7" i="1"/>
  <c r="H8" i="1"/>
  <c r="B7" i="1"/>
  <c r="H9" i="1"/>
  <c r="G7" i="1"/>
  <c r="N9" i="1"/>
  <c r="N11" i="1"/>
  <c r="J8" i="1"/>
  <c r="L6" i="1"/>
  <c r="L9" i="1"/>
  <c r="D6" i="1"/>
  <c r="I10" i="1"/>
  <c r="B9" i="1"/>
  <c r="F6" i="1"/>
  <c r="F10" i="1"/>
  <c r="D9" i="1"/>
  <c r="O8" i="1"/>
  <c r="O11" i="1"/>
  <c r="G10" i="1"/>
  <c r="J10" i="1"/>
  <c r="G9" i="1"/>
  <c r="I6" i="1"/>
  <c r="I11" i="1"/>
  <c r="I7" i="1"/>
  <c r="E9" i="1"/>
  <c r="H11" i="1"/>
  <c r="D11" i="1"/>
  <c r="M10" i="1"/>
  <c r="F9" i="1"/>
  <c r="H10" i="1"/>
  <c r="O7" i="1"/>
  <c r="G11" i="1"/>
  <c r="B8" i="1"/>
  <c r="M6" i="1"/>
  <c r="F8" i="1"/>
  <c r="O9" i="1"/>
  <c r="O6" i="1"/>
  <c r="H7" i="1"/>
  <c r="E8" i="1"/>
  <c r="N10" i="1"/>
  <c r="M9" i="1"/>
  <c r="H6" i="1"/>
  <c r="D7" i="1"/>
  <c r="L8" i="1"/>
  <c r="J7" i="1"/>
  <c r="I9" i="1"/>
  <c r="I8" i="1"/>
  <c r="E10" i="1"/>
  <c r="F7" i="1"/>
  <c r="L11" i="1"/>
  <c r="F11" i="1"/>
  <c r="D8" i="1"/>
  <c r="B6" i="1"/>
  <c r="L33" i="1"/>
  <c r="M33" i="1" s="1"/>
  <c r="K33" i="1"/>
  <c r="K29" i="1"/>
  <c r="L29" i="1"/>
  <c r="M29" i="1" s="1"/>
  <c r="K31" i="1"/>
  <c r="L31" i="1"/>
  <c r="M31" i="1" s="1"/>
  <c r="I28" i="1"/>
  <c r="A10" i="1"/>
  <c r="E13" i="4" l="1"/>
  <c r="A11" i="1"/>
  <c r="L28" i="1"/>
  <c r="M28" i="1" s="1"/>
  <c r="B41" i="1" s="1"/>
  <c r="K28" i="1"/>
  <c r="B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<sst xmlns="http://schemas.openxmlformats.org/spreadsheetml/2006/main" count="236" uniqueCount="165">
  <si>
    <t>Date</t>
  </si>
  <si>
    <t>Revenue</t>
  </si>
  <si>
    <t>EBIT</t>
  </si>
  <si>
    <t>EBITDA</t>
  </si>
  <si>
    <t>D&amp;A</t>
  </si>
  <si>
    <t>Tax Expense</t>
  </si>
  <si>
    <t>Interest Exp</t>
  </si>
  <si>
    <t>Net Income</t>
  </si>
  <si>
    <t>Total Debt</t>
  </si>
  <si>
    <t>Cash &amp; Equiv</t>
  </si>
  <si>
    <t>Minority Int</t>
  </si>
  <si>
    <t>Shares Out</t>
  </si>
  <si>
    <t>Book Equity</t>
  </si>
  <si>
    <t>Total Assets</t>
  </si>
  <si>
    <t>CapEx</t>
  </si>
  <si>
    <t>CFO</t>
  </si>
  <si>
    <t>Chg in NWC</t>
  </si>
  <si>
    <t>Start Year:</t>
  </si>
  <si>
    <t>Ticker</t>
  </si>
  <si>
    <t>NESN SW Equity</t>
  </si>
  <si>
    <t>End Year:</t>
  </si>
  <si>
    <t>Field</t>
  </si>
  <si>
    <t>SALES_REV_TURN</t>
  </si>
  <si>
    <t>IS_OPER_INC</t>
  </si>
  <si>
    <t>CF_DEPR_AMORT</t>
  </si>
  <si>
    <t>IS_INC_TAX_EXP</t>
  </si>
  <si>
    <t>IS_INT_EXPENSE</t>
  </si>
  <si>
    <t>NET_INCOME</t>
  </si>
  <si>
    <t>SHORT_AND_LONG_TERM_DEBT</t>
  </si>
  <si>
    <t>BS_CASH_NEAR_CASH_ITEM</t>
  </si>
  <si>
    <t>BS_SH_OUT</t>
  </si>
  <si>
    <t>TOT_COMMON_EQY</t>
  </si>
  <si>
    <t>BS_TOT_ASSET</t>
  </si>
  <si>
    <t>CF_CAP_EXPEND_PRPTY_ADD</t>
  </si>
  <si>
    <t>To change range:</t>
  </si>
  <si>
    <t>BBG LIVE — Each cell = own BDH, fix date, no spill</t>
  </si>
  <si>
    <t>1. Update years above</t>
  </si>
  <si>
    <t>Year</t>
  </si>
  <si>
    <t>2. Change year in col A</t>
  </si>
  <si>
    <t>3. Copy BDH formula from row above</t>
  </si>
  <si>
    <t>LTM</t>
  </si>
  <si>
    <t>FY1 Est</t>
  </si>
  <si>
    <t>HARD COPY — Paste Values from BBG block above</t>
  </si>
  <si>
    <t>DERIVED METRICS</t>
  </si>
  <si>
    <t>Rev YoY%</t>
  </si>
  <si>
    <t>EBIT Mrg</t>
  </si>
  <si>
    <t>EBITDA Mrg</t>
  </si>
  <si>
    <t>D&amp;A/Rev</t>
  </si>
  <si>
    <t>CapEx/Rev</t>
  </si>
  <si>
    <t>NWC/Rev</t>
  </si>
  <si>
    <t>Eff Tax</t>
  </si>
  <si>
    <t>NOPAT</t>
  </si>
  <si>
    <t>Inv Cap</t>
  </si>
  <si>
    <t>ROIC</t>
  </si>
  <si>
    <t>FCFF</t>
  </si>
  <si>
    <t>FCFF Mrg</t>
  </si>
  <si>
    <t>SUMMARY</t>
  </si>
  <si>
    <t>5Y Rev CAGR</t>
  </si>
  <si>
    <t>3Y Rev CAGR</t>
  </si>
  <si>
    <t>Med EBIT Mrg</t>
  </si>
  <si>
    <t>Med ROIC</t>
  </si>
  <si>
    <t>Avg Eff Tax</t>
  </si>
  <si>
    <t>Avg FCFF Mrg</t>
  </si>
  <si>
    <t>Max Rev Gr</t>
  </si>
  <si>
    <t>Min Rev Gr</t>
  </si>
  <si>
    <t>Ticker:</t>
  </si>
  <si>
    <t>BBG Live</t>
  </si>
  <si>
    <t>Hard Copy</t>
  </si>
  <si>
    <t>BBG Field</t>
  </si>
  <si>
    <t>Price</t>
  </si>
  <si>
    <t>PX_LAST</t>
  </si>
  <si>
    <t>Market Cap</t>
  </si>
  <si>
    <t>CUR_MKT_CAP</t>
  </si>
  <si>
    <t>EQY_SH_OUT</t>
  </si>
  <si>
    <t>EV</t>
  </si>
  <si>
    <t>ENTERPRISE_VALUE</t>
  </si>
  <si>
    <t>Beta Raw</t>
  </si>
  <si>
    <t>BETA_RAW_OVERRIDABLE</t>
  </si>
  <si>
    <t>Beta Adj</t>
  </si>
  <si>
    <t>BETA_ADJ_OVERRIDABLE</t>
  </si>
  <si>
    <t>BBG WACC</t>
  </si>
  <si>
    <t>WACC</t>
  </si>
  <si>
    <t>RETURN_ON_INV_CAPITAL</t>
  </si>
  <si>
    <t>Div Yield</t>
  </si>
  <si>
    <t>EQY_DVD_YLD_12M</t>
  </si>
  <si>
    <t>D/E</t>
  </si>
  <si>
    <t>TOT_DEBT_TO_TOT_EQY</t>
  </si>
  <si>
    <t>Op Margin</t>
  </si>
  <si>
    <t>OPER_MARGIN</t>
  </si>
  <si>
    <t>Cons Rev FY1</t>
  </si>
  <si>
    <t>BEST_SALES</t>
  </si>
  <si>
    <t>Cons EPS FY1</t>
  </si>
  <si>
    <t>BEST_EPS</t>
  </si>
  <si>
    <t>DERIVED</t>
  </si>
  <si>
    <t>Net Debt</t>
  </si>
  <si>
    <t>EV calc</t>
  </si>
  <si>
    <t>MACRO</t>
  </si>
  <si>
    <t>Region</t>
  </si>
  <si>
    <t>Switzerland</t>
  </si>
  <si>
    <t>Eurozone</t>
  </si>
  <si>
    <t>GDBR10 Index</t>
  </si>
  <si>
    <t>USA</t>
  </si>
  <si>
    <t>USGG10YR Index</t>
  </si>
  <si>
    <t>UK</t>
  </si>
  <si>
    <t>GUKG10 Index</t>
  </si>
  <si>
    <t>Japan</t>
  </si>
  <si>
    <t>JGBS10 Index</t>
  </si>
  <si>
    <t>GDP</t>
  </si>
  <si>
    <t>Real</t>
  </si>
  <si>
    <t>Infl</t>
  </si>
  <si>
    <t>Nominal</t>
  </si>
  <si>
    <t>EM</t>
  </si>
  <si>
    <t>ERP</t>
  </si>
  <si>
    <t>Source</t>
  </si>
  <si>
    <t>Damodaran</t>
  </si>
  <si>
    <t>DMS</t>
  </si>
  <si>
    <t>Own/IC</t>
  </si>
  <si>
    <t>Param</t>
  </si>
  <si>
    <t>Linked</t>
  </si>
  <si>
    <t>Manual</t>
  </si>
  <si>
    <t>Active</t>
  </si>
  <si>
    <t>Used</t>
  </si>
  <si>
    <t>Note</t>
  </si>
  <si>
    <t>Rf</t>
  </si>
  <si>
    <t>Macro HC</t>
  </si>
  <si>
    <t>Macro</t>
  </si>
  <si>
    <t>Beta</t>
  </si>
  <si>
    <t>Current HC</t>
  </si>
  <si>
    <t>CoE</t>
  </si>
  <si>
    <t>Calc</t>
  </si>
  <si>
    <t>Rf+B*ERP</t>
  </si>
  <si>
    <t>Pre-Tax CoD</t>
  </si>
  <si>
    <t>Tax Rate</t>
  </si>
  <si>
    <t>Fund avg</t>
  </si>
  <si>
    <t>AT CoD</t>
  </si>
  <si>
    <t>CoD*(1-t)</t>
  </si>
  <si>
    <t>Eq Weight</t>
  </si>
  <si>
    <t>E/(D+E)</t>
  </si>
  <si>
    <t>Debt Wt</t>
  </si>
  <si>
    <t>1-EqWt</t>
  </si>
  <si>
    <t>Result</t>
  </si>
  <si>
    <t>Tg</t>
  </si>
  <si>
    <t>T Margin</t>
  </si>
  <si>
    <t>Median</t>
  </si>
  <si>
    <t>Proj Yrs</t>
  </si>
  <si>
    <t>Bull</t>
  </si>
  <si>
    <t>+pp</t>
  </si>
  <si>
    <t>Bear</t>
  </si>
  <si>
    <t>-pp</t>
  </si>
  <si>
    <t>WORKFLOW</t>
  </si>
  <si>
    <t>1. Change ticker in Fundamentals!B2</t>
  </si>
  <si>
    <t>2. Each cell B6:Q11 has its own BDH (semicolons, fix date pair)</t>
  </si>
  <si>
    <t xml:space="preserve">   Example: =BDH(B$2;B$3;"20191231";"20191231";"Fill=NA";"Days=A")</t>
  </si>
  <si>
    <t>3. LTM (row 12) + FY1 Est (row 13): BDP formulas</t>
  </si>
  <si>
    <t>4. Copy B6:Q13 → Paste Values into B17:Q24</t>
  </si>
  <si>
    <t>5. To add 2025: insert row before LTM, type year, write BDH with "20251231"</t>
  </si>
  <si>
    <t>6. Current: Copy col B → col C | Macro: Copy col C → col D</t>
  </si>
  <si>
    <t>7. WACC: Auto-links. Active='Manual' to override.</t>
  </si>
  <si>
    <t>8. Save → streamlit run app.py → upload</t>
  </si>
  <si>
    <t>FCF</t>
  </si>
  <si>
    <t>CF_FREE_CASH_FLOW</t>
  </si>
  <si>
    <t>CHNG_WORK_CAP</t>
  </si>
  <si>
    <t>#N/A Invalid Field</t>
  </si>
  <si>
    <t>IS_MINORITY_INTEREST_ADJUSTED</t>
  </si>
  <si>
    <t>GSWISS10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</si>
</sst>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  <font>
      <b/>
      <sz val="11"/>
      <color rgb="FF003850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b/>
      <sz val="13"/>
      <color rgb="FF003850"/>
      <name val="Arial"/>
      <charset val="1"/>
    </font>
    <font>
      <sz val="10"/>
      <color rgb="FF0000FF"/>
      <name val="Arial"/>
      <charset val="1"/>
    </font>
    <font>
      <b/>
      <sz val="12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03850"/>
        <bgColor rgb="FF003300"/>
      </patternFill>
    </fill>
    <fill>
      <patternFill patternType="solid">
        <fgColor rgb="FFFFFFC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5F5E3"/>
      </patternFill>
    </fill>
    <fill>
      <patternFill patternType="solid">
        <fgColor rgb="FFFDE9D9"/>
        <bgColor rgb="FFFFF2CC"/>
      </patternFill>
    </fill>
    <fill>
      <patternFill patternType="solid">
        <fgColor rgb="FFE8D5F5"/>
        <bgColor rgb="FFD6E4F0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DE9D9"/>
      </patternFill>
    </fill>
    <fill>
      <patternFill patternType="solid">
        <fgColor rgb="FFD5F5E3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" fontId="2" fillId="3" borderId="0" xfId="0" applyNumberFormat="1" applyFont="1" applyFill="1"/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4" borderId="1" xfId="0" applyFill="1" applyBorder="1"/>
    <xf numFmtId="1" fontId="2" fillId="0" borderId="1" xfId="0" applyNumberFormat="1" applyFont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  <xf numFmtId="4" fontId="5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right" vertical="center"/>
    </xf>
    <xf numFmtId="4" fontId="5" fillId="6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7" borderId="1" xfId="0" applyNumberFormat="1" applyFont="1" applyFill="1" applyBorder="1" applyAlignment="1">
      <alignment horizontal="right" vertical="center"/>
    </xf>
    <xf numFmtId="164" fontId="5" fillId="8" borderId="1" xfId="0" applyNumberFormat="1" applyFont="1" applyFill="1" applyBorder="1" applyAlignment="1">
      <alignment horizontal="right" vertical="center"/>
    </xf>
    <xf numFmtId="3" fontId="5" fillId="8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6" fillId="0" borderId="0" xfId="0" applyFont="1"/>
    <xf numFmtId="0" fontId="3" fillId="0" borderId="1" xfId="0" applyFont="1" applyBorder="1" applyAlignment="1">
      <alignment horizontal="left" vertical="center"/>
    </xf>
    <xf numFmtId="2" fontId="5" fillId="5" borderId="1" xfId="0" applyNumberFormat="1" applyFont="1" applyFill="1" applyBorder="1" applyAlignment="1">
      <alignment horizontal="right" vertical="center"/>
    </xf>
    <xf numFmtId="2" fontId="5" fillId="3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3" fontId="6" fillId="8" borderId="1" xfId="0" applyNumberFormat="1" applyFont="1" applyFill="1" applyBorder="1"/>
    <xf numFmtId="0" fontId="7" fillId="0" borderId="1" xfId="0" applyFont="1" applyBorder="1" applyAlignment="1">
      <alignment horizontal="left" vertical="center"/>
    </xf>
    <xf numFmtId="10" fontId="5" fillId="5" borderId="1" xfId="0" applyNumberFormat="1" applyFont="1" applyFill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/>
    </xf>
    <xf numFmtId="164" fontId="8" fillId="9" borderId="1" xfId="0" applyNumberFormat="1" applyFont="1" applyFill="1" applyBorder="1" applyAlignment="1">
      <alignment horizontal="right" vertical="center"/>
    </xf>
    <xf numFmtId="10" fontId="6" fillId="8" borderId="1" xfId="0" applyNumberFormat="1" applyFont="1" applyFill="1" applyBorder="1" applyAlignment="1">
      <alignment horizontal="right" vertical="center"/>
    </xf>
    <xf numFmtId="10" fontId="8" fillId="9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center" vertical="center"/>
    </xf>
    <xf numFmtId="10" fontId="5" fillId="8" borderId="1" xfId="0" applyNumberFormat="1" applyFont="1" applyFill="1" applyBorder="1"/>
    <xf numFmtId="2" fontId="6" fillId="8" borderId="1" xfId="0" applyNumberFormat="1" applyFont="1" applyFill="1" applyBorder="1" applyAlignment="1">
      <alignment horizontal="right" vertical="center"/>
    </xf>
    <xf numFmtId="2" fontId="8" fillId="9" borderId="1" xfId="0" applyNumberFormat="1" applyFont="1" applyFill="1" applyBorder="1" applyAlignment="1">
      <alignment horizontal="right" vertical="center"/>
    </xf>
    <xf numFmtId="2" fontId="5" fillId="8" borderId="1" xfId="0" applyNumberFormat="1" applyFont="1" applyFill="1" applyBorder="1"/>
    <xf numFmtId="10" fontId="5" fillId="4" borderId="1" xfId="0" applyNumberFormat="1" applyFont="1" applyFill="1" applyBorder="1" applyAlignment="1">
      <alignment horizontal="right" vertical="center"/>
    </xf>
    <xf numFmtId="10" fontId="5" fillId="8" borderId="1" xfId="0" applyNumberFormat="1" applyFont="1" applyFill="1" applyBorder="1" applyAlignment="1">
      <alignment horizontal="right" vertical="center"/>
    </xf>
    <xf numFmtId="164" fontId="6" fillId="8" borderId="1" xfId="0" applyNumberFormat="1" applyFont="1" applyFill="1" applyBorder="1" applyAlignment="1">
      <alignment horizontal="right" vertical="center"/>
    </xf>
    <xf numFmtId="164" fontId="5" fillId="8" borderId="1" xfId="0" applyNumberFormat="1" applyFont="1" applyFill="1" applyBorder="1"/>
    <xf numFmtId="164" fontId="5" fillId="4" borderId="1" xfId="0" applyNumberFormat="1" applyFont="1" applyFill="1" applyBorder="1" applyAlignment="1">
      <alignment horizontal="right" vertical="center"/>
    </xf>
    <xf numFmtId="10" fontId="9" fillId="10" borderId="1" xfId="0" applyNumberFormat="1" applyFont="1" applyFill="1" applyBorder="1" applyAlignment="1">
      <alignment horizontal="right" vertical="center"/>
    </xf>
    <xf numFmtId="1" fontId="5" fillId="4" borderId="1" xfId="0" applyNumberFormat="1" applyFont="1" applyFill="1" applyBorder="1" applyAlignment="1">
      <alignment horizontal="right" vertical="center"/>
    </xf>
    <xf numFmtId="1" fontId="8" fillId="9" borderId="1" xfId="0" applyNumberFormat="1" applyFont="1" applyFill="1" applyBorder="1" applyAlignment="1">
      <alignment horizontal="right" vertical="center"/>
    </xf>
    <xf numFmtId="1" fontId="5" fillId="8" borderId="1" xfId="0" applyNumberFormat="1" applyFont="1" applyFill="1" applyBorder="1"/>
    <xf numFmtId="0" fontId="5" fillId="0" borderId="1" xfId="0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2F2"/>
      <rgbColor rgb="FF808080"/>
      <rgbColor rgb="FF9999FF"/>
      <rgbColor rgb="FF993366"/>
      <rgbColor rgb="FFFFFFCC"/>
      <rgbColor rgb="FFE2EFDA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FF2CC"/>
      <rgbColor rgb="FF99CCFF"/>
      <rgbColor rgb="FFFF99CC"/>
      <rgbColor rgb="FFCC99FF"/>
      <rgbColor rgb="FFFDE9D9"/>
      <rgbColor rgb="FF3366FF"/>
      <rgbColor rgb="FF33CCCC"/>
      <rgbColor rgb="FF99CC00"/>
      <rgbColor rgb="FFFFCC00"/>
      <rgbColor rgb="FFFBAE40"/>
      <rgbColor rgb="FFF26B43"/>
      <rgbColor rgb="FF666699"/>
      <rgbColor rgb="FF70AD47"/>
      <rgbColor rgb="FF00385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BDH|13120664895423011538</stp>
        <tr r="G6" s="1"/>
      </tp>
      <tp t="s">
        <v>#N/A N/A</v>
        <stp/>
        <stp>BDH|17682600516922811846</stp>
        <tr r="H9" s="1"/>
      </tp>
      <tp t="s">
        <v>#N/A N/A</v>
        <stp/>
        <stp>BDH|10567069670259613554</stp>
        <tr r="D6" s="1"/>
      </tp>
      <tp t="s">
        <v>#N/A N/A</v>
        <stp/>
        <stp>BDH|16830262236105065903</stp>
        <tr r="B6" s="1"/>
      </tp>
      <tp t="s">
        <v>#N/A N/A</v>
        <stp/>
        <stp>BDH|17466776295064833633</stp>
        <tr r="I11" s="1"/>
      </tp>
      <tp t="s">
        <v>#N/A N/A</v>
        <stp/>
        <stp>BDH|14365213486125264348</stp>
        <tr r="K6" s="1"/>
      </tp>
      <tp t="s">
        <v>#N/A N/A</v>
        <stp/>
        <stp>BDH|10065533582066541360</stp>
        <tr r="L9" s="1"/>
      </tp>
      <tp t="s">
        <v>#N/A N/A</v>
        <stp/>
        <stp>BDH|14440938902764754152</stp>
        <tr r="M10" s="1"/>
      </tp>
      <tp t="s">
        <v>#N/A N/A</v>
        <stp/>
        <stp>BDH|17519138122568943471</stp>
        <tr r="J11" s="1"/>
      </tp>
      <tp t="s">
        <v>#N/A N/A</v>
        <stp/>
        <stp>BDH|11099855348996979389</stp>
        <tr r="H11" s="1"/>
      </tp>
      <tp t="s">
        <v>#N/A N/A</v>
        <stp/>
        <stp>BDP|18062325518422371111</stp>
        <tr r="M12" s="1"/>
      </tp>
      <tp t="s">
        <v>#N/A N/A</v>
        <stp/>
        <stp>BDH|15848494425873818992</stp>
        <tr r="J7" s="1"/>
      </tp>
      <tp t="s">
        <v>#N/A N/A</v>
        <stp/>
        <stp>BDH|16868807670889604973</stp>
        <tr r="N10" s="1"/>
      </tp>
      <tp t="s">
        <v>#N/A N/A</v>
        <stp/>
        <stp>BDP|15353009475359997529</stp>
        <tr r="B4" s="2"/>
      </tp>
      <tp t="s">
        <v>#N/A N/A</v>
        <stp/>
        <stp>BDH|15556401762200769998</stp>
        <tr r="P7" s="1"/>
      </tp>
      <tp t="s">
        <v>#N/A N/A</v>
        <stp/>
        <stp>BDP|12216053093457583315</stp>
        <tr r="O12" s="1"/>
      </tp>
      <tp t="s">
        <v>#N/A N/A</v>
        <stp/>
        <stp>BDP|13699019424049127719</stp>
        <tr r="E12" s="1"/>
      </tp>
      <tp t="s">
        <v>#N/A N/A</v>
        <stp/>
        <stp>BDH|13980922473313206185</stp>
        <tr r="N11" s="1"/>
      </tp>
      <tp t="s">
        <v>#N/A N/A</v>
        <stp/>
        <stp>BDH|15627866713882714119</stp>
        <tr r="D9" s="1"/>
      </tp>
      <tp t="s">
        <v>#N/A N/A</v>
        <stp/>
        <stp>BDH|13334781673729015517</stp>
        <tr r="F10" s="1"/>
      </tp>
      <tp t="s">
        <v>#N/A N/A</v>
        <stp/>
        <stp>BDH|14633728727455598871</stp>
        <tr r="E6" s="1"/>
      </tp>
      <tp t="s">
        <v>#N/A N/A</v>
        <stp/>
        <stp>BDH|14166524151570228860</stp>
        <tr r="O8" s="1"/>
      </tp>
      <tp t="s">
        <v>#N/A N/A</v>
        <stp/>
        <stp>BDH|14717178668876481972</stp>
        <tr r="L6" s="1"/>
      </tp>
      <tp t="s">
        <v>#N/A N/A</v>
        <stp/>
        <stp>BDH|16763224855048877556</stp>
        <tr r="J10" s="1"/>
      </tp>
      <tp t="s">
        <v>#N/A N/A</v>
        <stp/>
        <stp>BDH|14682378289060398341</stp>
        <tr r="D7" s="1"/>
      </tp>
      <tp t="s">
        <v>#N/A N/A</v>
        <stp/>
        <stp>BDH|11607340566198115131</stp>
        <tr r="L10" s="1"/>
      </tp>
      <tp t="s">
        <v>#N/A N/A</v>
        <stp/>
        <stp>BDH|12664794845465484941</stp>
        <tr r="I10" s="1"/>
      </tp>
      <tp t="s">
        <v>#N/A N/A</v>
        <stp/>
        <stp>BDP|16846386558356327464</stp>
        <tr r="C6" s="3"/>
      </tp>
      <tp t="s">
        <v>#N/A N/A</v>
        <stp/>
        <stp>BDH|10306665497034674934</stp>
        <tr r="J9" s="1"/>
      </tp>
      <tp t="s">
        <v>#N/A N/A</v>
        <stp/>
        <stp>BDH|13806107677267709027</stp>
        <tr r="O11" s="1"/>
      </tp>
      <tp t="s">
        <v>#N/A N/A</v>
        <stp/>
        <stp>BDH|11214840113102960800</stp>
        <tr r="H8" s="1"/>
      </tp>
      <tp t="s">
        <v>#N/A N/A</v>
        <stp/>
        <stp>BDP|17820329765234744547</stp>
        <tr r="B13" s="2"/>
      </tp>
      <tp t="s">
        <v>#N/A N/A</v>
        <stp/>
        <stp>BDP|13180878886334425417</stp>
        <tr r="Q12" s="1"/>
      </tp>
      <tp t="s">
        <v>#N/A N/A</v>
        <stp/>
        <stp>BDH|17832994799363417789</stp>
        <tr r="N9" s="1"/>
      </tp>
      <tp t="s">
        <v>#N/A N/A</v>
        <stp/>
        <stp>BDH|14829199768626133613</stp>
        <tr r="C6" s="1"/>
      </tp>
      <tp t="s">
        <v>#N/A N/A</v>
        <stp/>
        <stp>BDH|14656397540173166357</stp>
        <tr r="E9" s="1"/>
      </tp>
      <tp t="s">
        <v>#N/A N/A</v>
        <stp/>
        <stp>BDH|14906359784597565842</stp>
        <tr r="F11" s="1"/>
      </tp>
      <tp t="s">
        <v>#N/A N/A</v>
        <stp/>
        <stp>BDP|10461658770039796992</stp>
        <tr r="J12" s="1"/>
      </tp>
      <tp t="s">
        <v>#N/A N/A</v>
        <stp/>
        <stp>BDP|11851764890857354985</stp>
        <tr r="C7" s="3"/>
      </tp>
      <tp t="s">
        <v>#N/A N/A</v>
        <stp/>
        <stp>BDH|11186271035616189738</stp>
        <tr r="D10" s="1"/>
      </tp>
      <tp t="s">
        <v>#N/A N/A</v>
        <stp/>
        <stp>BDH|15424009841144599420</stp>
        <tr r="O9" s="1"/>
      </tp>
      <tp t="s">
        <v>#N/A N/A</v>
        <stp/>
        <stp>BDH|11183001777306564150</stp>
        <tr r="D11" s="1"/>
      </tp>
      <tp t="s">
        <v>#N/A N/A</v>
        <stp/>
        <stp>BDP|13880132371904119754</stp>
        <tr r="B11" s="2"/>
      </tp>
      <tp t="s">
        <v>#N/A N/A</v>
        <stp/>
        <stp>BDP|15443246032723284111</stp>
        <tr r="B14" s="2"/>
      </tp>
      <tp t="s">
        <v>#N/A N/A</v>
        <stp/>
        <stp>BDH|12509345104167920055</stp>
        <tr r="F6" s="1"/>
      </tp>
      <tp t="s">
        <v>#N/A N/A</v>
        <stp/>
        <stp>BDP|15280088175554014140</stp>
        <tr r="I12" s="1"/>
      </tp>
      <tp t="s">
        <v>#N/A N/A</v>
        <stp/>
        <stp>BDP|12163115150883887273</stp>
        <tr r="B10" s="2"/>
      </tp>
      <tp t="s">
        <v>#N/A N/A</v>
        <stp/>
        <stp>BDH|13986537977213736508</stp>
        <tr r="O6" s="1"/>
      </tp>
      <tp t="s">
        <v>#N/A N/A</v>
        <stp/>
        <stp>BDP|13695667712196638617</stp>
        <tr r="P12" s="1"/>
      </tp>
      <tp t="s">
        <v>#N/A N/A</v>
        <stp/>
        <stp>BDH|15129108868731524755</stp>
        <tr r="N8" s="1"/>
      </tp>
      <tp t="s">
        <v>#N/A N/A</v>
        <stp/>
        <stp>BDH|15048275073157354392</stp>
        <tr r="Q9" s="1"/>
      </tp>
      <tp t="s">
        <v>#N/A N/A</v>
        <stp/>
        <stp>BDP|14688486984945240862</stp>
        <tr r="N12" s="1"/>
      </tp>
      <tp t="s">
        <v>#N/A N/A</v>
        <stp/>
        <stp>BDP|10613764400767820585</stp>
        <tr r="B12" s="1"/>
      </tp>
      <tp t="s">
        <v>#N/A N/A</v>
        <stp/>
        <stp>BDH|11067501063706321148</stp>
        <tr r="C8" s="1"/>
      </tp>
      <tp t="s">
        <v>#N/A N/A</v>
        <stp/>
        <stp>BDH|11976726530731168120</stp>
        <tr r="M6" s="1"/>
      </tp>
    </main>
    <main first="bofaddin.rtdserver">
      <tp t="s">
        <v>#N/A N/A</v>
        <stp/>
        <stp>BDP|9656655061575012090</stp>
        <tr r="C4" s="3"/>
      </tp>
      <tp t="s">
        <v>#N/A N/A</v>
        <stp/>
        <stp>BDH|8285820093520258515</stp>
        <tr r="C10" s="1"/>
      </tp>
      <tp t="s">
        <v>#N/A N/A</v>
        <stp/>
        <stp>BDH|2723634694113656225</stp>
        <tr r="M11" s="1"/>
      </tp>
      <tp t="s">
        <v>#N/A N/A</v>
        <stp/>
        <stp>BDP|2840355345930542984</stp>
        <tr r="B5" s="2"/>
      </tp>
      <tp t="s">
        <v>#N/A N/A</v>
        <stp/>
        <stp>BDH|8945982744498971040</stp>
        <tr r="E11" s="1"/>
      </tp>
      <tp t="s">
        <v>#N/A N/A</v>
        <stp/>
        <stp>BDH|2653586382052467063</stp>
        <tr r="J8" s="1"/>
      </tp>
      <tp t="s">
        <v>#N/A N/A</v>
        <stp/>
        <stp>BDH|8911588727255456482</stp>
        <tr r="B11" s="1"/>
      </tp>
      <tp t="s">
        <v>#N/A N/A</v>
        <stp/>
        <stp>BDP|8655337324362002599</stp>
        <tr r="C5" s="3"/>
      </tp>
      <tp t="s">
        <v>#N/A N/A</v>
        <stp/>
        <stp>BDH|8884200172574541779</stp>
        <tr r="M7" s="1"/>
      </tp>
      <tp t="s">
        <v>#N/A N/A</v>
        <stp/>
        <stp>BDH|7686111899991375025</stp>
        <tr r="G7" s="1"/>
      </tp>
      <tp t="s">
        <v>#N/A N/A</v>
        <stp/>
        <stp>BDH|2660636031388253164</stp>
        <tr r="K9" s="1"/>
      </tp>
      <tp t="s">
        <v>#N/A N/A</v>
        <stp/>
        <stp>BDH|4238480692156662184</stp>
        <tr r="K11" s="1"/>
      </tp>
      <tp t="s">
        <v>#N/A N/A</v>
        <stp/>
        <stp>BDH|2922603650357889989</stp>
        <tr r="F9" s="1"/>
      </tp>
      <tp t="s">
        <v>#N/A N/A</v>
        <stp/>
        <stp>BDP|7988697124174261825</stp>
        <tr r="O13" s="1"/>
      </tp>
      <tp t="s">
        <v>#N/A N/A</v>
        <stp/>
        <stp>BDH|8626419847486398684</stp>
        <tr r="N7" s="1"/>
      </tp>
      <tp t="s">
        <v>#N/A N/A</v>
        <stp/>
        <stp>BDH|2055529879571456947</stp>
        <tr r="K8" s="1"/>
      </tp>
      <tp t="s">
        <v>#N/A N/A</v>
        <stp/>
        <stp>BDP|1541987869884273299</stp>
        <tr r="D13" s="1"/>
      </tp>
      <tp t="s">
        <v>#N/A N/A</v>
        <stp/>
        <stp>BDP|4113131145900146999</stp>
        <tr r="C8" s="3"/>
      </tp>
      <tp t="s">
        <v>#N/A N/A</v>
        <stp/>
        <stp>BDH|2505534365401652894</stp>
        <tr r="B9" s="1"/>
      </tp>
      <tp t="s">
        <v>#N/A N/A</v>
        <stp/>
        <stp>BDH|6582817053676022523</stp>
        <tr r="Q11" s="1"/>
      </tp>
      <tp t="s">
        <v>#N/A N/A</v>
        <stp/>
        <stp>BDH|6549478798965029485</stp>
        <tr r="H10" s="1"/>
      </tp>
      <tp t="s">
        <v>#N/A N/A</v>
        <stp/>
        <stp>BDH|2861284492074697760</stp>
        <tr r="B8" s="1"/>
      </tp>
      <tp t="s">
        <v>#N/A N/A</v>
        <stp/>
        <stp>BDP|9016765188359975474</stp>
        <tr r="B15" s="2"/>
        <tr r="B13" s="1"/>
      </tp>
      <tp t="s">
        <v>#N/A N/A</v>
        <stp/>
        <stp>BDH|7033061673802535912</stp>
        <tr r="P10" s="1"/>
      </tp>
      <tp t="s">
        <v>#N/A N/A</v>
        <stp/>
        <stp>BDH|9852843421245636201</stp>
        <tr r="G8" s="1"/>
      </tp>
      <tp t="s">
        <v>#N/A N/A</v>
        <stp/>
        <stp>BDH|7243882779884185898</stp>
        <tr r="O10" s="1"/>
      </tp>
      <tp t="s">
        <v>#N/A N/A</v>
        <stp/>
        <stp>BDH|6389131201477794464</stp>
        <tr r="E10" s="1"/>
      </tp>
      <tp t="s">
        <v>#N/A N/A</v>
        <stp/>
        <stp>BDH|2000185548000466304</stp>
        <tr r="I6" s="1"/>
      </tp>
      <tp t="s">
        <v>#N/A N/A</v>
        <stp/>
        <stp>BDH|1015136776900621369</stp>
        <tr r="I8" s="1"/>
      </tp>
      <tp t="s">
        <v>#N/A N/A</v>
        <stp/>
        <stp>BDP|5437816395605932404</stp>
        <tr r="C12" s="1"/>
      </tp>
      <tp t="s">
        <v>#N/A N/A</v>
        <stp/>
        <stp>BDH|6543401033114083094</stp>
        <tr r="Q7" s="1"/>
      </tp>
      <tp t="s">
        <v>#N/A N/A</v>
        <stp/>
        <stp>BDH|3506195670671142102</stp>
        <tr r="M9" s="1"/>
      </tp>
      <tp t="s">
        <v>#N/A N/A</v>
        <stp/>
        <stp>BDH|5521557076343030146</stp>
        <tr r="E7" s="1"/>
      </tp>
      <tp t="s">
        <v>#N/A N/A</v>
        <stp/>
        <stp>BDH|4552352734830590175</stp>
        <tr r="I7" s="1"/>
      </tp>
      <tp t="s">
        <v>#N/A N/A</v>
        <stp/>
        <stp>BDH|2354205954615708562</stp>
        <tr r="L7" s="1"/>
      </tp>
      <tp t="s">
        <v>#N/A N/A</v>
        <stp/>
        <stp>BDH|3839322118927929037</stp>
        <tr r="H6" s="1"/>
      </tp>
      <tp t="s">
        <v>#N/A N/A</v>
        <stp/>
        <stp>BDH|7991234213477018504</stp>
        <tr r="Q6" s="1"/>
      </tp>
      <tp t="s">
        <v>#N/A N/A</v>
        <stp/>
        <stp>BDH|3430580815501274042</stp>
        <tr r="P11" s="1"/>
      </tp>
      <tp t="s">
        <v>#N/A N/A</v>
        <stp/>
        <stp>BDP|3117672317194136629</stp>
        <tr r="F12" s="1"/>
      </tp>
      <tp t="s">
        <v>#N/A N/A</v>
        <stp/>
        <stp>BDH|2349750257391790708</stp>
        <tr r="P8" s="1"/>
      </tp>
      <tp t="s">
        <v>#N/A N/A</v>
        <stp/>
        <stp>BDH|6514375173730686416</stp>
        <tr r="H7" s="1"/>
      </tp>
      <tp t="s">
        <v>#N/A N/A</v>
        <stp/>
        <stp>BDH|2293263244884773606</stp>
        <tr r="D8" s="1"/>
      </tp>
      <tp t="s">
        <v>#N/A N/A</v>
        <stp/>
        <stp>BDH|82607282183361645</stp>
        <tr r="B10" s="1"/>
      </tp>
      <tp t="s">
        <v>#N/A N/A</v>
        <stp/>
        <stp>BDH|3905650655202740543</stp>
        <tr r="C11" s="1"/>
      </tp>
      <tp t="s">
        <v>#N/A N/A</v>
        <stp/>
        <stp>BDH|6888651238031633595</stp>
        <tr r="L8" s="1"/>
      </tp>
      <tp t="s">
        <v>#N/A N/A</v>
        <stp/>
        <stp>BDP|1168323727181828626</stp>
        <tr r="B9" s="2"/>
      </tp>
      <tp t="s">
        <v>#N/A N/A</v>
        <stp/>
        <stp>BDH|7563846804879682102</stp>
        <tr r="J6" s="1"/>
      </tp>
      <tp t="s">
        <v>#N/A N/A</v>
        <stp/>
        <stp>BDP|1024640917381518005</stp>
        <tr r="H13" s="1"/>
      </tp>
      <tp t="s">
        <v>#N/A N/A</v>
        <stp/>
        <stp>BDP|6533337333911984098</stp>
        <tr r="B8" s="2"/>
      </tp>
      <tp t="s">
        <v>#N/A N/A</v>
        <stp/>
        <stp>BDH|8552686346709608347</stp>
        <tr r="O7" s="1"/>
      </tp>
      <tp t="s">
        <v>#N/A N/A</v>
        <stp/>
        <stp>BDP|4169166276515811771</stp>
        <tr r="H12" s="1"/>
      </tp>
      <tp t="s">
        <v>#N/A N/A</v>
        <stp/>
        <stp>BDH|6793065584438253618</stp>
        <tr r="Q10" s="1"/>
      </tp>
      <tp t="s">
        <v>#N/A N/A</v>
        <stp/>
        <stp>BDP|3907087327609401873</stp>
        <tr r="B7" s="2"/>
      </tp>
      <tp t="s">
        <v>#N/A N/A</v>
        <stp/>
        <stp>BDH|1478406463281614241</stp>
        <tr r="P6" s="1"/>
      </tp>
      <tp t="s">
        <v>#N/A N/A</v>
        <stp/>
        <stp>BDH|8497120846689966559</stp>
        <tr r="M8" s="1"/>
      </tp>
      <tp t="s">
        <v>#N/A N/A</v>
        <stp/>
        <stp>BDP|3045324864980589736</stp>
        <tr r="B12" s="2"/>
      </tp>
      <tp t="s">
        <v>#N/A N/A</v>
        <stp/>
        <stp>BDH|3948017371634321202</stp>
        <tr r="C7" s="1"/>
      </tp>
      <tp t="s">
        <v>#N/A N/A</v>
        <stp/>
        <stp>BDH|8517661023666858827</stp>
        <tr r="F7" s="1"/>
      </tp>
      <tp t="s">
        <v>#N/A N/A</v>
        <stp/>
        <stp>BDH|1875775921533969541</stp>
        <tr r="L11" s="1"/>
      </tp>
      <tp t="s">
        <v>#N/A N/A</v>
        <stp/>
        <stp>BDH|4041928556728280206</stp>
        <tr r="G9" s="1"/>
      </tp>
      <tp t="s">
        <v>#N/A N/A</v>
        <stp/>
        <stp>BDH|2024040642014048011</stp>
        <tr r="I9" s="1"/>
      </tp>
      <tp t="s">
        <v>#N/A N/A</v>
        <stp/>
        <stp>BDP|5183138417043170400</stp>
        <tr r="G12" s="1"/>
      </tp>
      <tp t="s">
        <v>#N/A N/A</v>
        <stp/>
        <stp>BDH|7171720428003262229</stp>
        <tr r="K10" s="1"/>
      </tp>
      <tp t="s">
        <v>#N/A N/A</v>
        <stp/>
        <stp>BDH|1826035280088629212</stp>
        <tr r="G11" s="1"/>
      </tp>
      <tp t="s">
        <v>#N/A N/A</v>
        <stp/>
        <stp>BDH|8804683268878011340</stp>
        <tr r="Q8" s="1"/>
      </tp>
      <tp t="s">
        <v>#N/A N/A</v>
        <stp/>
        <stp>BDP|9145470635399662487</stp>
        <tr r="B6" s="2"/>
        <tr r="L12" s="1"/>
      </tp>
      <tp t="s">
        <v>#N/A N/A</v>
        <stp/>
        <stp>BDP|3812300965190837561</stp>
        <tr r="C13" s="1"/>
      </tp>
      <tp t="s">
        <v>#N/A N/A</v>
        <stp/>
        <stp>BDH|1627693573601958269</stp>
        <tr r="E8" s="1"/>
      </tp>
      <tp t="s">
        <v>#N/A N/A</v>
        <stp/>
        <stp>BDH|6327426913931827191</stp>
        <tr r="B7" s="1"/>
      </tp>
      <tp t="s">
        <v>#N/A N/A</v>
        <stp/>
        <stp>BDP|59446067279170018</stp>
        <tr r="K12" s="1"/>
      </tp>
      <tp t="s">
        <v>#N/A N/A</v>
        <stp/>
        <stp>BDP|55442988282238526</stp>
        <tr r="B16" s="2"/>
      </tp>
      <tp t="s">
        <v>#N/A N/A</v>
        <stp/>
        <stp>BDP|863064451784177458</stp>
        <tr r="D12" s="1"/>
      </tp>
      <tp t="s">
        <v>#N/A N/A</v>
        <stp/>
        <stp>BDH|431060208744784191</stp>
        <tr r="G10" s="1"/>
      </tp>
      <tp t="s">
        <v>#N/A N/A</v>
        <stp/>
        <stp>BDH|781139570320458103</stp>
        <tr r="P9" s="1"/>
      </tp>
      <tp t="s">
        <v>#N/A N/A</v>
        <stp/>
        <stp>BDH|444742543423928161</stp>
        <tr r="N6" s="1"/>
      </tp>
      <tp t="s">
        <v>#N/A N/A</v>
        <stp/>
        <stp>BDH|332454246517671687</stp>
        <tr r="F8" s="1"/>
      </tp>
      <tp t="s">
        <v>#N/A N/A</v>
        <stp/>
        <stp>BDH|995032004152526345</stp>
        <tr r="C9" s="1"/>
      </tp>
      <tp t="s">
        <v>#N/A N/A</v>
        <stp/>
        <stp>BDH|198885577361662741</stp>
        <tr r="K7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850"/>
  </sheetPr>
  <dimension ref="A1:T43"/>
  <sheetViews>
    <sheetView tabSelected="1" zoomScaleNormal="100" workbookViewId="0">
      <selection activeCell="D35" sqref="D35"/>
    </sheetView>
  </sheetViews>
  <sheetFormatPr baseColWidth="10" defaultColWidth="8.7109375" defaultRowHeight="15" x14ac:dyDescent="0.25"/>
  <cols>
    <col min="1" max="17" width="14" customWidth="1"/>
    <col min="19" max="19" width="16" customWidth="1"/>
    <col min="20" max="20" width="10" customWidth="1"/>
  </cols>
  <sheetData>
    <row r="1" spans="1:2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159</v>
      </c>
      <c r="Q1" s="1" t="s">
        <v>16</v>
      </c>
      <c r="S1" s="2" t="s">
        <v>17</v>
      </c>
      <c r="T1" s="3">
        <v>2019</v>
      </c>
    </row>
    <row r="2" spans="1:20" ht="15" customHeight="1" x14ac:dyDescent="0.25">
      <c r="A2" s="4" t="s">
        <v>18</v>
      </c>
      <c r="B2" s="5" t="s">
        <v>19</v>
      </c>
      <c r="C2" t="str">
        <f>$B$2</f>
        <v>NESN SW Equity</v>
      </c>
      <c r="D2" s="6" t="str">
        <f t="shared" ref="D2:R2" si="0">$B$2</f>
        <v>NESN SW Equity</v>
      </c>
      <c r="E2" s="6" t="str">
        <f t="shared" si="0"/>
        <v>NESN SW Equity</v>
      </c>
      <c r="F2" s="6" t="str">
        <f t="shared" si="0"/>
        <v>NESN SW Equity</v>
      </c>
      <c r="G2" s="6" t="str">
        <f t="shared" si="0"/>
        <v>NESN SW Equity</v>
      </c>
      <c r="H2" s="6" t="str">
        <f t="shared" si="0"/>
        <v>NESN SW Equity</v>
      </c>
      <c r="I2" s="6" t="str">
        <f t="shared" si="0"/>
        <v>NESN SW Equity</v>
      </c>
      <c r="J2" s="6" t="str">
        <f t="shared" si="0"/>
        <v>NESN SW Equity</v>
      </c>
      <c r="K2" s="6" t="str">
        <f t="shared" si="0"/>
        <v>NESN SW Equity</v>
      </c>
      <c r="L2" s="6" t="str">
        <f t="shared" si="0"/>
        <v>NESN SW Equity</v>
      </c>
      <c r="M2" s="6" t="str">
        <f t="shared" si="0"/>
        <v>NESN SW Equity</v>
      </c>
      <c r="N2" s="6" t="str">
        <f t="shared" si="0"/>
        <v>NESN SW Equity</v>
      </c>
      <c r="O2" s="6" t="str">
        <f t="shared" si="0"/>
        <v>NESN SW Equity</v>
      </c>
      <c r="P2" s="6" t="str">
        <f t="shared" si="0"/>
        <v>NESN SW Equity</v>
      </c>
      <c r="Q2" s="6" t="str">
        <f t="shared" si="0"/>
        <v>NESN SW Equity</v>
      </c>
      <c r="R2" s="6" t="str">
        <f t="shared" si="0"/>
        <v>NESN SW Equity</v>
      </c>
      <c r="S2" s="2" t="s">
        <v>20</v>
      </c>
      <c r="T2" s="3">
        <v>2024</v>
      </c>
    </row>
    <row r="3" spans="1:20" ht="15" customHeight="1" x14ac:dyDescent="0.25">
      <c r="A3" s="4" t="s">
        <v>21</v>
      </c>
      <c r="B3" s="7" t="s">
        <v>22</v>
      </c>
      <c r="C3" s="7" t="s">
        <v>23</v>
      </c>
      <c r="D3" s="7" t="s">
        <v>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163</v>
      </c>
      <c r="L3" s="7" t="s">
        <v>30</v>
      </c>
      <c r="M3" s="7" t="s">
        <v>31</v>
      </c>
      <c r="N3" s="7" t="s">
        <v>32</v>
      </c>
      <c r="O3" s="7" t="s">
        <v>33</v>
      </c>
      <c r="P3" s="7" t="s">
        <v>160</v>
      </c>
      <c r="Q3" s="7" t="s">
        <v>161</v>
      </c>
      <c r="S3" s="6" t="s">
        <v>34</v>
      </c>
    </row>
    <row r="4" spans="1:20" ht="15" customHeight="1" x14ac:dyDescent="0.25">
      <c r="A4" s="8" t="s">
        <v>35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S4" s="6" t="s">
        <v>36</v>
      </c>
    </row>
    <row r="5" spans="1:20" ht="15" customHeight="1" x14ac:dyDescent="0.25">
      <c r="A5" s="1" t="s">
        <v>37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S5" s="6" t="s">
        <v>38</v>
      </c>
    </row>
    <row r="6" spans="1:20" ht="15" customHeight="1" x14ac:dyDescent="0.25">
      <c r="A6" s="10">
        <f>$T$1</f>
        <v>2019</v>
      </c>
      <c r="B6" s="11" cm="1">
        <f t="array" ref="B6">_xll.BDH(B$2,B$3,$A6&amp;"1231",$A6&amp;"1231","Fill=NA","Days=A")</f>
        <v>47251</v>
      </c>
      <c r="C6" s="11" cm="1">
        <f t="array" ref="C6">_xll.BDH(C$2,C$3,$A6&amp;"1231",$A6&amp;"1231","Fill=NA","Days=A")</f>
        <v>9344</v>
      </c>
      <c r="D6" s="11" cm="1">
        <f t="array" ref="D6">_xll.BDH(D$2,D$3,$A6&amp;"1231",$A6&amp;"1231","Fill=NA","Days=A")</f>
        <v>11193</v>
      </c>
      <c r="E6" s="11" cm="1">
        <f t="array" ref="E6">_xll.BDH(E$2,E$3,$A6&amp;"1231",$A6&amp;"1231","Fill=NA","Days=A")</f>
        <v>1849</v>
      </c>
      <c r="F6" s="11" cm="1">
        <f t="array" ref="F6">_xll.BDH(F$2,F$3,$A6&amp;"1231",$A6&amp;"1231","Fill=NA","Days=A")</f>
        <v>1448</v>
      </c>
      <c r="G6" s="11" cm="1">
        <f t="array" ref="G6">_xll.BDH(G$2,G$3,$A6&amp;"1231",$A6&amp;"1231","Fill=NA","Days=A")</f>
        <v>510</v>
      </c>
      <c r="H6" s="11" cm="1">
        <f t="array" ref="H6">_xll.BDH(H$2,H$3,$A6&amp;"1231",$A6&amp;"1231","Fill=NA","Days=A")</f>
        <v>7637</v>
      </c>
      <c r="I6" s="11" cm="1">
        <f t="array" ref="I6">_xll.BDH(I$2,I$3,$A6&amp;"1231",$A6&amp;"1231","Fill=NA","Days=A")</f>
        <v>37164</v>
      </c>
      <c r="J6" s="11" cm="1">
        <f t="array" ref="J6">_xll.BDH(J$2,J$3,$A6&amp;"1231",$A6&amp;"1231","Fill=NA","Days=A")</f>
        <v>7469</v>
      </c>
      <c r="K6" s="11" cm="1">
        <f t="array" ref="K6">_xll.BDH(K$2,K$3,$A6&amp;"1231",$A6&amp;"1231","Fill=NA","Days=A")</f>
        <v>148</v>
      </c>
      <c r="L6" s="12" cm="1">
        <f t="array" ref="L6">_xll.BDH(L$2,L$3,$A6&amp;"1231",$A6&amp;"1231","Fill=NA","Days=A")</f>
        <v>2880</v>
      </c>
      <c r="M6" s="11" cm="1">
        <f t="array" ref="M6">_xll.BDH(M$2,M$3,$A6&amp;"1231",$A6&amp;"1231","Fill=NA","Days=A")</f>
        <v>52035</v>
      </c>
      <c r="N6" s="11" cm="1">
        <f t="array" ref="N6">_xll.BDH(N$2,N$3,$A6&amp;"1231",$A6&amp;"1231","Fill=NA","Days=A")</f>
        <v>127940</v>
      </c>
      <c r="O6" s="11" cm="1">
        <f t="array" ref="O6">_xll.BDH(O$2,O$3,$A6&amp;"1231",$A6&amp;"1231","Fill=NA","Days=A")</f>
        <v>-2616</v>
      </c>
      <c r="P6" s="11" cm="1">
        <f t="array" ref="P6">_xll.BDH(P$2,P$3,$A6&amp;"1231",$A6&amp;"1231","Fill=NA","Days=A")</f>
        <v>8075</v>
      </c>
      <c r="Q6" s="11" cm="1">
        <f t="array" ref="Q6">_xll.BDH(Q$2,Q$3,$A6&amp;"1231",$A6&amp;"1231","Fill=NA","Days=A")</f>
        <v>3697</v>
      </c>
      <c r="S6" s="6" t="s">
        <v>39</v>
      </c>
    </row>
    <row r="7" spans="1:20" ht="15" customHeight="1" x14ac:dyDescent="0.25">
      <c r="A7" s="10">
        <f>A6+1</f>
        <v>2020</v>
      </c>
      <c r="B7" s="11" cm="1">
        <f t="array" ref="B7">_xll.BDH(B$2,B$3,$A7&amp;"1231",$A7&amp;"1231","Fill=NA","Days=A")</f>
        <v>43378</v>
      </c>
      <c r="C7" s="11" cm="1">
        <f t="array" ref="C7">_xll.BDH(C$2,C$3,$A7&amp;"1231",$A7&amp;"1231","Fill=NA","Days=A")</f>
        <v>6963</v>
      </c>
      <c r="D7" s="11" cm="1">
        <f t="array" ref="D7">_xll.BDH(D$2,D$3,$A7&amp;"1231",$A7&amp;"1231","Fill=NA","Days=A")</f>
        <v>8720</v>
      </c>
      <c r="E7" s="11" cm="1">
        <f t="array" ref="E7">_xll.BDH(E$2,E$3,$A7&amp;"1231",$A7&amp;"1231","Fill=NA","Days=A")</f>
        <v>1757</v>
      </c>
      <c r="F7" s="11" cm="1">
        <f t="array" ref="F7">_xll.BDH(F$2,F$3,$A7&amp;"1231",$A7&amp;"1231","Fill=NA","Days=A")</f>
        <v>1367</v>
      </c>
      <c r="G7" s="11" cm="1">
        <f t="array" ref="G7">_xll.BDH(G$2,G$3,$A7&amp;"1231",$A7&amp;"1231","Fill=NA","Days=A")</f>
        <v>351</v>
      </c>
      <c r="H7" s="11" cm="1">
        <f t="array" ref="H7">_xll.BDH(H$2,H$3,$A7&amp;"1231",$A7&amp;"1231","Fill=NA","Days=A")</f>
        <v>6349</v>
      </c>
      <c r="I7" s="11" cm="1">
        <f t="array" ref="I7">_xll.BDH(I$2,I$3,$A7&amp;"1231",$A7&amp;"1231","Fill=NA","Days=A")</f>
        <v>39339</v>
      </c>
      <c r="J7" s="11" cm="1">
        <f t="array" ref="J7">_xll.BDH(J$2,J$3,$A7&amp;"1231",$A7&amp;"1231","Fill=NA","Days=A")</f>
        <v>5235</v>
      </c>
      <c r="K7" s="11" cm="1">
        <f t="array" ref="K7">_xll.BDH(K$2,K$3,$A7&amp;"1231",$A7&amp;"1231","Fill=NA","Days=A")</f>
        <v>-5</v>
      </c>
      <c r="L7" s="12" cm="1">
        <f t="array" ref="L7">_xll.BDH(L$2,L$3,$A7&amp;"1231",$A7&amp;"1231","Fill=NA","Days=A")</f>
        <v>2816.5</v>
      </c>
      <c r="M7" s="11" cm="1">
        <f t="array" ref="M7">_xll.BDH(M$2,M$3,$A7&amp;"1231",$A7&amp;"1231","Fill=NA","Days=A")</f>
        <v>45695</v>
      </c>
      <c r="N7" s="11" cm="1">
        <f t="array" ref="N7">_xll.BDH(N$2,N$3,$A7&amp;"1231",$A7&amp;"1231","Fill=NA","Days=A")</f>
        <v>124028</v>
      </c>
      <c r="O7" s="11" cm="1">
        <f t="array" ref="O7">_xll.BDH(O$2,O$3,$A7&amp;"1231",$A7&amp;"1231","Fill=NA","Days=A")</f>
        <v>-3201</v>
      </c>
      <c r="P7" s="11" cm="1">
        <f t="array" ref="P7">_xll.BDH(P$2,P$3,$A7&amp;"1231",$A7&amp;"1231","Fill=NA","Days=A")</f>
        <v>6991</v>
      </c>
      <c r="Q7" s="11" cm="1">
        <f t="array" ref="Q7">_xll.BDH(Q$2,Q$3,$A7&amp;"1231",$A7&amp;"1231","Fill=NA","Days=A")</f>
        <v>3931</v>
      </c>
    </row>
    <row r="8" spans="1:20" ht="15" customHeight="1" x14ac:dyDescent="0.25">
      <c r="A8" s="10">
        <f>A7+1</f>
        <v>2021</v>
      </c>
      <c r="B8" s="11" cm="1">
        <f t="array" ref="B8">_xll.BDH(B$2,B$3,$A8&amp;"1231",$A8&amp;"1231","Fill=NA","Days=A")</f>
        <v>45544</v>
      </c>
      <c r="C8" s="11" cm="1">
        <f t="array" ref="C8">_xll.BDH(C$2,C$3,$A8&amp;"1231",$A8&amp;"1231","Fill=NA","Days=A")</f>
        <v>4813</v>
      </c>
      <c r="D8" s="11" cm="1">
        <f t="array" ref="D8">_xll.BDH(D$2,D$3,$A8&amp;"1231",$A8&amp;"1231","Fill=NA","Days=A")</f>
        <v>6582</v>
      </c>
      <c r="E8" s="11" cm="1">
        <f t="array" ref="E8">_xll.BDH(E$2,E$3,$A8&amp;"1231",$A8&amp;"1231","Fill=NA","Days=A")</f>
        <v>1769</v>
      </c>
      <c r="F8" s="11" cm="1">
        <f t="array" ref="F8">_xll.BDH(F$2,F$3,$A8&amp;"1231",$A8&amp;"1231","Fill=NA","Days=A")</f>
        <v>1140</v>
      </c>
      <c r="G8" s="11" cm="1">
        <f t="array" ref="G8">_xll.BDH(G$2,G$3,$A8&amp;"1231",$A8&amp;"1231","Fill=NA","Days=A")</f>
        <v>372</v>
      </c>
      <c r="H8" s="11" cm="1">
        <f t="array" ref="H8">_xll.BDH(H$2,H$3,$A8&amp;"1231",$A8&amp;"1231","Fill=NA","Days=A")</f>
        <v>10960</v>
      </c>
      <c r="I8" s="11" cm="1">
        <f t="array" ref="I8">_xll.BDH(I$2,I$3,$A8&amp;"1231",$A8&amp;"1231","Fill=NA","Days=A")</f>
        <v>45816</v>
      </c>
      <c r="J8" s="11" cm="1">
        <f t="array" ref="J8">_xll.BDH(J$2,J$3,$A8&amp;"1231",$A8&amp;"1231","Fill=NA","Days=A")</f>
        <v>6988</v>
      </c>
      <c r="K8" s="11" cm="1">
        <f t="array" ref="K8">_xll.BDH(K$2,K$3,$A8&amp;"1231",$A8&amp;"1231","Fill=NA","Days=A")</f>
        <v>190</v>
      </c>
      <c r="L8" s="12" cm="1">
        <f t="array" ref="L8">_xll.BDH(L$2,L$3,$A8&amp;"1231",$A8&amp;"1231","Fill=NA","Days=A")</f>
        <v>2759.5922999999998</v>
      </c>
      <c r="M8" s="11" cm="1">
        <f t="array" ref="M8">_xll.BDH(M$2,M$3,$A8&amp;"1231",$A8&amp;"1231","Fill=NA","Days=A")</f>
        <v>53140</v>
      </c>
      <c r="N8" s="11" cm="1">
        <f t="array" ref="N8">_xll.BDH(N$2,N$3,$A8&amp;"1231",$A8&amp;"1231","Fill=NA","Days=A")</f>
        <v>139142</v>
      </c>
      <c r="O8" s="11" cm="1">
        <f t="array" ref="O8">_xll.BDH(O$2,O$3,$A8&amp;"1231",$A8&amp;"1231","Fill=NA","Days=A")</f>
        <v>-2972</v>
      </c>
      <c r="P8" s="11" cm="1">
        <f t="array" ref="P8">_xll.BDH(P$2,P$3,$A8&amp;"1231",$A8&amp;"1231","Fill=NA","Days=A")</f>
        <v>6223</v>
      </c>
      <c r="Q8" s="11" cm="1">
        <f t="array" ref="Q8">_xll.BDH(Q$2,Q$3,$A8&amp;"1231",$A8&amp;"1231","Fill=NA","Days=A")</f>
        <v>6799</v>
      </c>
    </row>
    <row r="9" spans="1:20" ht="15" customHeight="1" x14ac:dyDescent="0.25">
      <c r="A9" s="10">
        <f>A8+1</f>
        <v>2022</v>
      </c>
      <c r="B9" s="11" cm="1">
        <f t="array" ref="B9">_xll.BDH(B$2,B$3,$A9&amp;"1231",$A9&amp;"1231","Fill=NA","Days=A")</f>
        <v>49022</v>
      </c>
      <c r="C9" s="11" cm="1">
        <f t="array" ref="C9">_xll.BDH(C$2,C$3,$A9&amp;"1231",$A9&amp;"1231","Fill=NA","Days=A")</f>
        <v>5707</v>
      </c>
      <c r="D9" s="11" cm="1">
        <f t="array" ref="D9">_xll.BDH(D$2,D$3,$A9&amp;"1231",$A9&amp;"1231","Fill=NA","Days=A")</f>
        <v>7492</v>
      </c>
      <c r="E9" s="11" cm="1">
        <f t="array" ref="E9">_xll.BDH(E$2,E$3,$A9&amp;"1231",$A9&amp;"1231","Fill=NA","Days=A")</f>
        <v>1785</v>
      </c>
      <c r="F9" s="11" cm="1">
        <f t="array" ref="F9">_xll.BDH(F$2,F$3,$A9&amp;"1231",$A9&amp;"1231","Fill=NA","Days=A")</f>
        <v>1231</v>
      </c>
      <c r="G9" s="11" cm="1">
        <f t="array" ref="G9">_xll.BDH(G$2,G$3,$A9&amp;"1231",$A9&amp;"1231","Fill=NA","Days=A")</f>
        <v>600</v>
      </c>
      <c r="H9" s="11" cm="1">
        <f t="array" ref="H9">_xll.BDH(H$2,H$3,$A9&amp;"1231",$A9&amp;"1231","Fill=NA","Days=A")</f>
        <v>4023</v>
      </c>
      <c r="I9" s="11" cm="1">
        <f t="array" ref="I9">_xll.BDH(I$2,I$3,$A9&amp;"1231",$A9&amp;"1231","Fill=NA","Days=A")</f>
        <v>53501</v>
      </c>
      <c r="J9" s="11" cm="1">
        <f t="array" ref="J9">_xll.BDH(J$2,J$3,$A9&amp;"1231",$A9&amp;"1231","Fill=NA","Days=A")</f>
        <v>5511</v>
      </c>
      <c r="K9" s="11" cm="1">
        <f t="array" ref="K9">_xll.BDH(K$2,K$3,$A9&amp;"1231",$A9&amp;"1231","Fill=NA","Days=A")</f>
        <v>171</v>
      </c>
      <c r="L9" s="12" cm="1">
        <f t="array" ref="L9">_xll.BDH(L$2,L$3,$A9&amp;"1231",$A9&amp;"1231","Fill=NA","Days=A")</f>
        <v>2668.1414</v>
      </c>
      <c r="M9" s="11" cm="1">
        <f t="array" ref="M9">_xll.BDH(M$2,M$3,$A9&amp;"1231",$A9&amp;"1231","Fill=NA","Days=A")</f>
        <v>41982</v>
      </c>
      <c r="N9" s="11" cm="1">
        <f t="array" ref="N9">_xll.BDH(N$2,N$3,$A9&amp;"1231",$A9&amp;"1231","Fill=NA","Days=A")</f>
        <v>135182</v>
      </c>
      <c r="O9" s="11" cm="1">
        <f t="array" ref="O9">_xll.BDH(O$2,O$3,$A9&amp;"1231",$A9&amp;"1231","Fill=NA","Days=A")</f>
        <v>-2723</v>
      </c>
      <c r="P9" s="11" cm="1">
        <f t="array" ref="P9">_xll.BDH(P$2,P$3,$A9&amp;"1231",$A9&amp;"1231","Fill=NA","Days=A")</f>
        <v>5249</v>
      </c>
      <c r="Q9" s="11" cm="1">
        <f t="array" ref="Q9">_xll.BDH(Q$2,Q$3,$A9&amp;"1231",$A9&amp;"1231","Fill=NA","Days=A")</f>
        <v>3922</v>
      </c>
    </row>
    <row r="10" spans="1:20" ht="15" customHeight="1" x14ac:dyDescent="0.25">
      <c r="A10" s="10">
        <f>A9+1</f>
        <v>2023</v>
      </c>
      <c r="B10" s="11" cm="1">
        <f t="array" ref="B10">_xll.BDH(B$2,B$3,$A10&amp;"1231",$A10&amp;"1231","Fill=NA","Days=A")</f>
        <v>46875</v>
      </c>
      <c r="C10" s="11" cm="1">
        <f t="array" ref="C10">_xll.BDH(C$2,C$3,$A10&amp;"1231",$A10&amp;"1231","Fill=NA","Days=A")</f>
        <v>6801</v>
      </c>
      <c r="D10" s="11" cm="1">
        <f t="array" ref="D10">_xll.BDH(D$2,D$3,$A10&amp;"1231",$A10&amp;"1231","Fill=NA","Days=A")</f>
        <v>8537</v>
      </c>
      <c r="E10" s="11" cm="1">
        <f t="array" ref="E10">_xll.BDH(E$2,E$3,$A10&amp;"1231",$A10&amp;"1231","Fill=NA","Days=A")</f>
        <v>1736</v>
      </c>
      <c r="F10" s="11" cm="1">
        <f t="array" ref="F10">_xll.BDH(F$2,F$3,$A10&amp;"1231",$A10&amp;"1231","Fill=NA","Days=A")</f>
        <v>785</v>
      </c>
      <c r="G10" s="11" cm="1">
        <f t="array" ref="G10">_xll.BDH(G$2,G$3,$A10&amp;"1231",$A10&amp;"1231","Fill=NA","Days=A")</f>
        <v>649</v>
      </c>
      <c r="H10" s="11" cm="1">
        <f t="array" ref="H10">_xll.BDH(H$2,H$3,$A10&amp;"1231",$A10&amp;"1231","Fill=NA","Days=A")</f>
        <v>5560</v>
      </c>
      <c r="I10" s="11" cm="1">
        <f t="array" ref="I10">_xll.BDH(I$2,I$3,$A10&amp;"1231",$A10&amp;"1231","Fill=NA","Days=A")</f>
        <v>54434</v>
      </c>
      <c r="J10" s="11" cm="1">
        <f t="array" ref="J10">_xll.BDH(J$2,J$3,$A10&amp;"1231",$A10&amp;"1231","Fill=NA","Days=A")</f>
        <v>4816</v>
      </c>
      <c r="K10" s="11" cm="1">
        <f t="array" ref="K10">_xll.BDH(K$2,K$3,$A10&amp;"1231",$A10&amp;"1231","Fill=NA","Days=A")</f>
        <v>164</v>
      </c>
      <c r="L10" s="12" cm="1">
        <f t="array" ref="L10">_xll.BDH(L$2,L$3,$A10&amp;"1231",$A10&amp;"1231","Fill=NA","Days=A")</f>
        <v>2621.3063000000002</v>
      </c>
      <c r="M10" s="11" cm="1">
        <f t="array" ref="M10">_xll.BDH(M$2,M$3,$A10&amp;"1231",$A10&amp;"1231","Fill=NA","Days=A")</f>
        <v>35742</v>
      </c>
      <c r="N10" s="11" cm="1">
        <f t="array" ref="N10">_xll.BDH(N$2,N$3,$A10&amp;"1231",$A10&amp;"1231","Fill=NA","Days=A")</f>
        <v>126550</v>
      </c>
      <c r="O10" s="11" cm="1">
        <f t="array" ref="O10">_xll.BDH(O$2,O$3,$A10&amp;"1231",$A10&amp;"1231","Fill=NA","Days=A")</f>
        <v>-3053</v>
      </c>
      <c r="P10" s="11" cm="1">
        <f t="array" ref="P10">_xll.BDH(P$2,P$3,$A10&amp;"1231",$A10&amp;"1231","Fill=NA","Days=A")</f>
        <v>7147</v>
      </c>
      <c r="Q10" s="11" cm="1">
        <f t="array" ref="Q10">_xll.BDH(Q$2,Q$3,$A10&amp;"1231",$A10&amp;"1231","Fill=NA","Days=A")</f>
        <v>765</v>
      </c>
    </row>
    <row r="11" spans="1:20" ht="15" customHeight="1" x14ac:dyDescent="0.25">
      <c r="A11" s="10">
        <f>A10+1</f>
        <v>2024</v>
      </c>
      <c r="B11" s="11" cm="1">
        <f t="array" ref="B11">_xll.BDH(B$2,B$3,$A11&amp;"1231",$A11&amp;"1231","Fill=NA","Days=A")</f>
        <v>46489</v>
      </c>
      <c r="C11" s="11" cm="1">
        <f t="array" ref="C11">_xll.BDH(C$2,C$3,$A11&amp;"1231",$A11&amp;"1231","Fill=NA","Days=A")</f>
        <v>7273</v>
      </c>
      <c r="D11" s="11" cm="1">
        <f t="array" ref="D11">_xll.BDH(D$2,D$3,$A11&amp;"1231",$A11&amp;"1231","Fill=NA","Days=A")</f>
        <v>9090</v>
      </c>
      <c r="E11" s="11" cm="1">
        <f t="array" ref="E11">_xll.BDH(E$2,E$3,$A11&amp;"1231",$A11&amp;"1231","Fill=NA","Days=A")</f>
        <v>1817</v>
      </c>
      <c r="F11" s="11" cm="1">
        <f t="array" ref="F11">_xll.BDH(F$2,F$3,$A11&amp;"1231",$A11&amp;"1231","Fill=NA","Days=A")</f>
        <v>1637</v>
      </c>
      <c r="G11" s="11" cm="1">
        <f t="array" ref="G11">_xll.BDH(G$2,G$3,$A11&amp;"1231",$A11&amp;"1231","Fill=NA","Days=A")</f>
        <v>775</v>
      </c>
      <c r="H11" s="11" cm="1">
        <f t="array" ref="H11">_xll.BDH(H$2,H$3,$A11&amp;"1231",$A11&amp;"1231","Fill=NA","Days=A")</f>
        <v>5240</v>
      </c>
      <c r="I11" s="11" cm="1">
        <f t="array" ref="I11">_xll.BDH(I$2,I$3,$A11&amp;"1231",$A11&amp;"1231","Fill=NA","Days=A")</f>
        <v>62741</v>
      </c>
      <c r="J11" s="11" cm="1">
        <f t="array" ref="J11">_xll.BDH(J$2,J$3,$A11&amp;"1231",$A11&amp;"1231","Fill=NA","Days=A")</f>
        <v>5556</v>
      </c>
      <c r="K11" s="11" cm="1">
        <f t="array" ref="K11">_xll.BDH(K$2,K$3,$A11&amp;"1231",$A11&amp;"1231","Fill=NA","Days=A")</f>
        <v>159</v>
      </c>
      <c r="L11" s="12" cm="1">
        <f t="array" ref="L11">_xll.BDH(L$2,L$3,$A11&amp;"1231",$A11&amp;"1231","Fill=NA","Days=A")</f>
        <v>2572.7150000000001</v>
      </c>
      <c r="M11" s="11" cm="1">
        <f t="array" ref="M11">_xll.BDH(M$2,M$3,$A11&amp;"1231",$A11&amp;"1231","Fill=NA","Days=A")</f>
        <v>35917</v>
      </c>
      <c r="N11" s="11" cm="1">
        <f t="array" ref="N11">_xll.BDH(N$2,N$3,$A11&amp;"1231",$A11&amp;"1231","Fill=NA","Days=A")</f>
        <v>139264</v>
      </c>
      <c r="O11" s="11" cm="1">
        <f t="array" ref="O11">_xll.BDH(O$2,O$3,$A11&amp;"1231",$A11&amp;"1231","Fill=NA","Days=A")</f>
        <v>-2794</v>
      </c>
      <c r="P11" s="11" cm="1">
        <f t="array" ref="P11">_xll.BDH(P$2,P$3,$A11&amp;"1231",$A11&amp;"1231","Fill=NA","Days=A")</f>
        <v>6911</v>
      </c>
      <c r="Q11" s="11" cm="1">
        <f t="array" ref="Q11">_xll.BDH(Q$2,Q$3,$A11&amp;"1231",$A11&amp;"1231","Fill=NA","Days=A")</f>
        <v>-1895</v>
      </c>
    </row>
    <row r="12" spans="1:20" ht="15" customHeight="1" x14ac:dyDescent="0.25">
      <c r="A12" s="13" t="s">
        <v>40</v>
      </c>
      <c r="B12" s="14">
        <f>_xll.BDP($B$2,"EST_SALES_LAST_YR")</f>
        <v>89825.75</v>
      </c>
      <c r="C12" s="14">
        <f>_xll.BDP($B$2,"TRAIL_12M_OPER_INC")</f>
        <v>12277</v>
      </c>
      <c r="D12" s="14">
        <f>_xll.BDP($B$2,"TRAIL_12M_EBITDA")</f>
        <v>15910</v>
      </c>
      <c r="E12" s="14" t="str">
        <f>_xll.BDP($B$2,"TRAIL_12M_DEPR_AMORT")</f>
        <v>#N/A Invalid Field</v>
      </c>
      <c r="F12" s="14">
        <f>_xll.BDP($B$2,"TRAIL_12M_INC_TAX_EXP")</f>
        <v>2640</v>
      </c>
      <c r="G12" s="14">
        <f>_xll.BDP($B$2,"TRAIL_12M_INT_EXP")</f>
        <v>1786</v>
      </c>
      <c r="H12" s="14">
        <f>_xll.BDP($B$2,"TRAIL_12M_NET_INC")</f>
        <v>9033</v>
      </c>
      <c r="I12" s="14">
        <f>_xll.BDP($B$2,"SHORT_AND_LONG_TERM_DEBT")</f>
        <v>57108</v>
      </c>
      <c r="J12" s="14">
        <f>_xll.BDP($B$2,"BS_CASH_NEAR_CASH_ITEM")</f>
        <v>4579</v>
      </c>
      <c r="K12" s="14">
        <f>_xll.BDP($B$2,"MINORITY_INTEREST")</f>
        <v>221</v>
      </c>
      <c r="L12" s="15">
        <f>_xll.BDP($B$2,"EQY_SH_OUT")</f>
        <v>2576.52</v>
      </c>
      <c r="M12" s="14">
        <f>_xll.BDP($B$2,"TOT_COMMON_EQY")</f>
        <v>32810</v>
      </c>
      <c r="N12" s="14">
        <f>_xll.BDP($B$2,"BS_TOT_ASSET")</f>
        <v>127151</v>
      </c>
      <c r="O12" s="14">
        <f>_xll.BDP($B$2,"TRAIL_12M_CAP_EXPEND")</f>
        <v>-4527</v>
      </c>
      <c r="P12" s="14">
        <f>_xll.BDP($B$2,"TRAIL_12M_CASH_FROM_OPER")</f>
        <v>15904</v>
      </c>
      <c r="Q12" s="14" t="str">
        <f>_xll.BDP($B$2,"TRAIL_12M_CHG_WORK_CAP")</f>
        <v>#N/A Invalid Field</v>
      </c>
    </row>
    <row r="13" spans="1:20" ht="15" customHeight="1" x14ac:dyDescent="0.25">
      <c r="A13" s="16" t="s">
        <v>41</v>
      </c>
      <c r="B13" s="17">
        <f>_xll.BDP($B$2,"BEST_SALES")</f>
        <v>21392.833333333332</v>
      </c>
      <c r="C13" s="17" t="str">
        <f>_xll.BDP($B$2,"BEST_OPER_INCOME")</f>
        <v>#N/A Invalid Field</v>
      </c>
      <c r="D13" s="17">
        <f>_xll.BDP($B$2,"BEST_EBITDA_MEDIAN")</f>
        <v>17904</v>
      </c>
      <c r="E13" s="18"/>
      <c r="F13" s="18"/>
      <c r="G13" s="18"/>
      <c r="H13" s="17">
        <f>_xll.BDP($B$2,"BEST_NET_INCOME")</f>
        <v>11075.273000000001</v>
      </c>
      <c r="I13" s="18"/>
      <c r="J13" s="18"/>
      <c r="K13" s="18"/>
      <c r="L13" s="18"/>
      <c r="M13" s="18"/>
      <c r="N13" s="18"/>
      <c r="O13" s="17">
        <f>_xll.BDP($B$2,"BEST_CAPEX")</f>
        <v>-4126.0709999999999</v>
      </c>
      <c r="P13" s="18"/>
      <c r="Q13" s="18"/>
    </row>
    <row r="15" spans="1:20" ht="15" customHeight="1" x14ac:dyDescent="0.25">
      <c r="A15" s="8" t="s">
        <v>42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20" ht="15" customHeight="1" x14ac:dyDescent="0.25">
      <c r="A16" s="1" t="s">
        <v>37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N16" s="1" t="s">
        <v>13</v>
      </c>
      <c r="O16" s="1" t="s">
        <v>14</v>
      </c>
      <c r="P16" s="1" t="s">
        <v>15</v>
      </c>
      <c r="Q16" s="1" t="s">
        <v>16</v>
      </c>
    </row>
    <row r="17" spans="1:17" ht="15" customHeight="1" x14ac:dyDescent="0.25">
      <c r="A17" s="10">
        <f>$T$1</f>
        <v>2019</v>
      </c>
      <c r="B17" s="19">
        <v>47251</v>
      </c>
      <c r="C17" s="19">
        <v>9344</v>
      </c>
      <c r="D17" s="19">
        <v>11193</v>
      </c>
      <c r="E17" s="19">
        <v>1849</v>
      </c>
      <c r="F17" s="19">
        <v>1448</v>
      </c>
      <c r="G17" s="19">
        <v>510</v>
      </c>
      <c r="H17" s="19">
        <v>7637</v>
      </c>
      <c r="I17" s="19">
        <v>37164</v>
      </c>
      <c r="J17" s="19">
        <v>7469</v>
      </c>
      <c r="K17" s="19">
        <v>148</v>
      </c>
      <c r="L17" s="20">
        <v>2880</v>
      </c>
      <c r="M17" s="19">
        <v>52035</v>
      </c>
      <c r="N17" s="19">
        <v>127940</v>
      </c>
      <c r="O17" s="19">
        <v>-2616</v>
      </c>
      <c r="P17" s="19">
        <v>8075</v>
      </c>
      <c r="Q17" s="19">
        <v>3697</v>
      </c>
    </row>
    <row r="18" spans="1:17" ht="15" customHeight="1" x14ac:dyDescent="0.25">
      <c r="A18" s="10">
        <f>A17+1</f>
        <v>2020</v>
      </c>
      <c r="B18" s="19">
        <v>43378</v>
      </c>
      <c r="C18" s="19">
        <v>6963</v>
      </c>
      <c r="D18" s="19">
        <v>8720</v>
      </c>
      <c r="E18" s="19">
        <v>1757</v>
      </c>
      <c r="F18" s="19">
        <v>1367</v>
      </c>
      <c r="G18" s="19">
        <v>351</v>
      </c>
      <c r="H18" s="19">
        <v>6349</v>
      </c>
      <c r="I18" s="19">
        <v>39339</v>
      </c>
      <c r="J18" s="19">
        <v>5235</v>
      </c>
      <c r="K18" s="19">
        <v>-5</v>
      </c>
      <c r="L18" s="20">
        <v>2816.5</v>
      </c>
      <c r="M18" s="19">
        <v>45695</v>
      </c>
      <c r="N18" s="19">
        <v>124028</v>
      </c>
      <c r="O18" s="19">
        <v>-3201</v>
      </c>
      <c r="P18" s="19">
        <v>6991</v>
      </c>
      <c r="Q18" s="19">
        <v>3931</v>
      </c>
    </row>
    <row r="19" spans="1:17" ht="15" customHeight="1" x14ac:dyDescent="0.25">
      <c r="A19" s="10">
        <f>A18+1</f>
        <v>2021</v>
      </c>
      <c r="B19" s="19">
        <v>45544</v>
      </c>
      <c r="C19" s="19">
        <v>4813</v>
      </c>
      <c r="D19" s="19">
        <v>6582</v>
      </c>
      <c r="E19" s="19">
        <v>1769</v>
      </c>
      <c r="F19" s="19">
        <v>1140</v>
      </c>
      <c r="G19" s="19">
        <v>372</v>
      </c>
      <c r="H19" s="19">
        <v>10960</v>
      </c>
      <c r="I19" s="19">
        <v>45816</v>
      </c>
      <c r="J19" s="19">
        <v>6988</v>
      </c>
      <c r="K19" s="19">
        <v>190</v>
      </c>
      <c r="L19" s="20">
        <v>2759.5922999999998</v>
      </c>
      <c r="M19" s="19">
        <v>53140</v>
      </c>
      <c r="N19" s="19">
        <v>139142</v>
      </c>
      <c r="O19" s="19">
        <v>-2972</v>
      </c>
      <c r="P19" s="19">
        <v>6223</v>
      </c>
      <c r="Q19" s="19">
        <v>6799</v>
      </c>
    </row>
    <row r="20" spans="1:17" ht="15" customHeight="1" x14ac:dyDescent="0.25">
      <c r="A20" s="10">
        <f>A19+1</f>
        <v>2022</v>
      </c>
      <c r="B20" s="19">
        <v>49022</v>
      </c>
      <c r="C20" s="19">
        <v>5707</v>
      </c>
      <c r="D20" s="19">
        <v>7492</v>
      </c>
      <c r="E20" s="19">
        <v>1785</v>
      </c>
      <c r="F20" s="19">
        <v>1231</v>
      </c>
      <c r="G20" s="19">
        <v>600</v>
      </c>
      <c r="H20" s="19">
        <v>4023</v>
      </c>
      <c r="I20" s="19">
        <v>53501</v>
      </c>
      <c r="J20" s="19">
        <v>5511</v>
      </c>
      <c r="K20" s="19">
        <v>171</v>
      </c>
      <c r="L20" s="20">
        <v>2668.1414</v>
      </c>
      <c r="M20" s="19">
        <v>41982</v>
      </c>
      <c r="N20" s="19">
        <v>135182</v>
      </c>
      <c r="O20" s="19">
        <v>-2723</v>
      </c>
      <c r="P20" s="19">
        <v>5249</v>
      </c>
      <c r="Q20" s="19">
        <v>3922</v>
      </c>
    </row>
    <row r="21" spans="1:17" ht="15" customHeight="1" x14ac:dyDescent="0.25">
      <c r="A21" s="10">
        <f>A20+1</f>
        <v>2023</v>
      </c>
      <c r="B21" s="19">
        <v>46875</v>
      </c>
      <c r="C21" s="19">
        <v>6801</v>
      </c>
      <c r="D21" s="19">
        <v>8537</v>
      </c>
      <c r="E21" s="19">
        <v>1736</v>
      </c>
      <c r="F21" s="19">
        <v>785</v>
      </c>
      <c r="G21" s="19">
        <v>649</v>
      </c>
      <c r="H21" s="19">
        <v>5560</v>
      </c>
      <c r="I21" s="19">
        <v>54434</v>
      </c>
      <c r="J21" s="19">
        <v>4816</v>
      </c>
      <c r="K21" s="19">
        <v>164</v>
      </c>
      <c r="L21" s="20">
        <v>2621.3063000000002</v>
      </c>
      <c r="M21" s="19">
        <v>35742</v>
      </c>
      <c r="N21" s="19">
        <v>126550</v>
      </c>
      <c r="O21" s="19">
        <v>-3053</v>
      </c>
      <c r="P21" s="19">
        <v>7147</v>
      </c>
      <c r="Q21" s="19">
        <v>765</v>
      </c>
    </row>
    <row r="22" spans="1:17" ht="15" customHeight="1" x14ac:dyDescent="0.25">
      <c r="A22" s="10">
        <f>A21+1</f>
        <v>2024</v>
      </c>
      <c r="B22" s="19">
        <v>46489</v>
      </c>
      <c r="C22" s="19">
        <v>7273</v>
      </c>
      <c r="D22" s="19">
        <v>9090</v>
      </c>
      <c r="E22" s="19">
        <v>1817</v>
      </c>
      <c r="F22" s="19">
        <v>1637</v>
      </c>
      <c r="G22" s="19">
        <v>775</v>
      </c>
      <c r="H22" s="19">
        <v>5240</v>
      </c>
      <c r="I22" s="19">
        <v>62741</v>
      </c>
      <c r="J22" s="19">
        <v>5556</v>
      </c>
      <c r="K22" s="19">
        <v>159</v>
      </c>
      <c r="L22" s="20">
        <v>2572.7150000000001</v>
      </c>
      <c r="M22" s="19">
        <v>35917</v>
      </c>
      <c r="N22" s="19">
        <v>139264</v>
      </c>
      <c r="O22" s="19">
        <v>-2794</v>
      </c>
      <c r="P22" s="19">
        <v>6911</v>
      </c>
      <c r="Q22" s="19">
        <v>-1895</v>
      </c>
    </row>
    <row r="23" spans="1:17" ht="15" customHeight="1" x14ac:dyDescent="0.25">
      <c r="A23" s="13" t="s">
        <v>40</v>
      </c>
      <c r="B23" s="14">
        <v>89825.75</v>
      </c>
      <c r="C23" s="14">
        <v>12277</v>
      </c>
      <c r="D23" s="14">
        <v>15910</v>
      </c>
      <c r="E23" s="14" t="s">
        <v>162</v>
      </c>
      <c r="F23" s="14">
        <v>2640</v>
      </c>
      <c r="G23" s="14">
        <v>1786</v>
      </c>
      <c r="H23" s="14">
        <v>9033</v>
      </c>
      <c r="I23" s="14">
        <v>57108</v>
      </c>
      <c r="J23" s="14">
        <v>4579</v>
      </c>
      <c r="K23" s="14">
        <v>221</v>
      </c>
      <c r="L23" s="15">
        <v>2576.52</v>
      </c>
      <c r="M23" s="14">
        <v>32810</v>
      </c>
      <c r="N23" s="14">
        <v>127151</v>
      </c>
      <c r="O23" s="14">
        <v>-4527</v>
      </c>
      <c r="P23" s="14">
        <v>15904</v>
      </c>
      <c r="Q23" s="14" t="s">
        <v>162</v>
      </c>
    </row>
    <row r="24" spans="1:17" ht="15" customHeight="1" x14ac:dyDescent="0.25">
      <c r="A24" s="16" t="s">
        <v>41</v>
      </c>
      <c r="B24" s="17">
        <v>21392.833333333332</v>
      </c>
      <c r="C24" s="17" t="s">
        <v>162</v>
      </c>
      <c r="D24" s="17">
        <v>17904</v>
      </c>
      <c r="E24" s="17"/>
      <c r="F24" s="17"/>
      <c r="G24" s="17"/>
      <c r="H24" s="17">
        <v>11075.273000000001</v>
      </c>
      <c r="I24" s="17"/>
      <c r="J24" s="17"/>
      <c r="K24" s="17"/>
      <c r="L24" s="21"/>
      <c r="M24" s="17"/>
      <c r="N24" s="17"/>
      <c r="O24" s="17">
        <v>-4126.0709999999999</v>
      </c>
      <c r="P24" s="17"/>
      <c r="Q24" s="17"/>
    </row>
    <row r="26" spans="1:17" ht="15" customHeight="1" x14ac:dyDescent="0.25">
      <c r="A26" s="8" t="s">
        <v>43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7" ht="15" customHeight="1" x14ac:dyDescent="0.25">
      <c r="A27" s="1" t="s">
        <v>37</v>
      </c>
      <c r="B27" s="1" t="s">
        <v>44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1" t="s">
        <v>51</v>
      </c>
      <c r="J27" s="1" t="s">
        <v>52</v>
      </c>
      <c r="K27" s="1" t="s">
        <v>53</v>
      </c>
      <c r="L27" s="1" t="s">
        <v>54</v>
      </c>
      <c r="M27" s="1" t="s">
        <v>55</v>
      </c>
    </row>
    <row r="28" spans="1:17" ht="15" customHeight="1" x14ac:dyDescent="0.25">
      <c r="A28" s="10">
        <f>$T$1</f>
        <v>2019</v>
      </c>
      <c r="B28" s="22"/>
      <c r="C28" s="22">
        <f t="shared" ref="C28:C33" si="1">IFERROR(C17/B17,"")</f>
        <v>0.19775242852003133</v>
      </c>
      <c r="D28" s="22">
        <f t="shared" ref="D28:D33" si="2">IFERROR(D17/B17,"")</f>
        <v>0.23688387547353495</v>
      </c>
      <c r="E28" s="22">
        <f t="shared" ref="E28:E33" si="3">IFERROR(E17/B17,"")</f>
        <v>3.9131446953503631E-2</v>
      </c>
      <c r="F28" s="22">
        <f t="shared" ref="F28:F33" si="4">IFERROR(ABS(O17)/B17,"")</f>
        <v>5.5363907642166303E-2</v>
      </c>
      <c r="G28" s="22">
        <f t="shared" ref="G28:G33" si="5">IFERROR(Q17/B17,"")</f>
        <v>7.8241730333749551E-2</v>
      </c>
      <c r="H28" s="22">
        <f t="shared" ref="H28:H33" si="6">IFERROR(F17/C17,"")</f>
        <v>0.15496575342465754</v>
      </c>
      <c r="I28" s="23">
        <f t="shared" ref="I28:I33" si="7">IFERROR(C17*(1-H28),"")</f>
        <v>7896</v>
      </c>
      <c r="J28" s="23">
        <f t="shared" ref="J28:J33" si="8">IFERROR(M17+I17-J17,"")</f>
        <v>81730</v>
      </c>
      <c r="K28" s="22">
        <f t="shared" ref="K28:K33" si="9">IFERROR(I28/J28,"")</f>
        <v>9.6610791630980061E-2</v>
      </c>
      <c r="L28" s="23">
        <f t="shared" ref="L28:L33" si="10">IFERROR(I28+E17-ABS(O17)-Q17,"")</f>
        <v>3432</v>
      </c>
      <c r="M28" s="22">
        <f t="shared" ref="M28:M33" si="11">IFERROR(L28/B17,"")</f>
        <v>7.2633383420456707E-2</v>
      </c>
    </row>
    <row r="29" spans="1:17" ht="15" customHeight="1" x14ac:dyDescent="0.25">
      <c r="A29" s="10">
        <f>A28+1</f>
        <v>2020</v>
      </c>
      <c r="B29" s="22">
        <f>IFERROR(B18/B17-1,"")</f>
        <v>-8.1966519227106294E-2</v>
      </c>
      <c r="C29" s="22">
        <f t="shared" si="1"/>
        <v>0.16051915717644888</v>
      </c>
      <c r="D29" s="22">
        <f t="shared" si="2"/>
        <v>0.20102356033012125</v>
      </c>
      <c r="E29" s="22">
        <f t="shared" si="3"/>
        <v>4.0504403153672368E-2</v>
      </c>
      <c r="F29" s="22">
        <f t="shared" si="4"/>
        <v>7.379316704320163E-2</v>
      </c>
      <c r="G29" s="22">
        <f t="shared" si="5"/>
        <v>9.0621974272672781E-2</v>
      </c>
      <c r="H29" s="22">
        <f t="shared" si="6"/>
        <v>0.19632342381157547</v>
      </c>
      <c r="I29" s="23">
        <f t="shared" si="7"/>
        <v>5596</v>
      </c>
      <c r="J29" s="23">
        <f t="shared" si="8"/>
        <v>79799</v>
      </c>
      <c r="K29" s="22">
        <f t="shared" si="9"/>
        <v>7.0126192057544584E-2</v>
      </c>
      <c r="L29" s="23">
        <f t="shared" si="10"/>
        <v>221</v>
      </c>
      <c r="M29" s="22">
        <f t="shared" si="11"/>
        <v>5.0947484900179816E-3</v>
      </c>
    </row>
    <row r="30" spans="1:17" ht="15" customHeight="1" x14ac:dyDescent="0.25">
      <c r="A30" s="10">
        <f>A29+1</f>
        <v>2021</v>
      </c>
      <c r="B30" s="22">
        <f>IFERROR(B19/B18-1,"")</f>
        <v>4.9933145834293979E-2</v>
      </c>
      <c r="C30" s="22">
        <f t="shared" si="1"/>
        <v>0.1056780256455296</v>
      </c>
      <c r="D30" s="22">
        <f t="shared" si="2"/>
        <v>0.14451958545582294</v>
      </c>
      <c r="E30" s="22">
        <f t="shared" si="3"/>
        <v>3.8841559810293344E-2</v>
      </c>
      <c r="F30" s="22">
        <f t="shared" si="4"/>
        <v>6.5255577024415951E-2</v>
      </c>
      <c r="G30" s="22">
        <f t="shared" si="5"/>
        <v>0.14928420867732303</v>
      </c>
      <c r="H30" s="22">
        <f t="shared" si="6"/>
        <v>0.23685850820693954</v>
      </c>
      <c r="I30" s="23">
        <f t="shared" si="7"/>
        <v>3673</v>
      </c>
      <c r="J30" s="23">
        <f t="shared" si="8"/>
        <v>91968</v>
      </c>
      <c r="K30" s="22">
        <f t="shared" si="9"/>
        <v>3.9937804453723032E-2</v>
      </c>
      <c r="L30" s="23">
        <f t="shared" si="10"/>
        <v>-4329</v>
      </c>
      <c r="M30" s="22">
        <f t="shared" si="11"/>
        <v>-9.505093975057087E-2</v>
      </c>
    </row>
    <row r="31" spans="1:17" ht="15" customHeight="1" x14ac:dyDescent="0.25">
      <c r="A31" s="10">
        <f>A30+1</f>
        <v>2022</v>
      </c>
      <c r="B31" s="22">
        <f>IFERROR(B20/B19-1,"")</f>
        <v>7.6365712278236408E-2</v>
      </c>
      <c r="C31" s="22">
        <f t="shared" si="1"/>
        <v>0.11641711884460039</v>
      </c>
      <c r="D31" s="22">
        <f t="shared" si="2"/>
        <v>0.1528293419281139</v>
      </c>
      <c r="E31" s="22">
        <f t="shared" si="3"/>
        <v>3.6412223083513523E-2</v>
      </c>
      <c r="F31" s="22">
        <f t="shared" si="4"/>
        <v>5.5546489331320628E-2</v>
      </c>
      <c r="G31" s="22">
        <f t="shared" si="5"/>
        <v>8.0004895761086853E-2</v>
      </c>
      <c r="H31" s="22">
        <f t="shared" si="6"/>
        <v>0.215700017522341</v>
      </c>
      <c r="I31" s="23">
        <f t="shared" si="7"/>
        <v>4476</v>
      </c>
      <c r="J31" s="23">
        <f t="shared" si="8"/>
        <v>89972</v>
      </c>
      <c r="K31" s="22">
        <f t="shared" si="9"/>
        <v>4.9748810741119462E-2</v>
      </c>
      <c r="L31" s="23">
        <f t="shared" si="10"/>
        <v>-384</v>
      </c>
      <c r="M31" s="22">
        <f t="shared" si="11"/>
        <v>-7.8332177389743383E-3</v>
      </c>
    </row>
    <row r="32" spans="1:17" ht="15" customHeight="1" x14ac:dyDescent="0.25">
      <c r="A32" s="10">
        <f>A31+1</f>
        <v>2023</v>
      </c>
      <c r="B32" s="22">
        <f>IFERROR(B21/B20-1,"")</f>
        <v>-4.3796662722859092E-2</v>
      </c>
      <c r="C32" s="22">
        <f t="shared" si="1"/>
        <v>0.14508799999999999</v>
      </c>
      <c r="D32" s="22">
        <f t="shared" si="2"/>
        <v>0.18212266666666665</v>
      </c>
      <c r="E32" s="22">
        <f t="shared" si="3"/>
        <v>3.7034666666666667E-2</v>
      </c>
      <c r="F32" s="22">
        <f t="shared" si="4"/>
        <v>6.513066666666667E-2</v>
      </c>
      <c r="G32" s="22">
        <f t="shared" si="5"/>
        <v>1.6320000000000001E-2</v>
      </c>
      <c r="H32" s="22">
        <f t="shared" si="6"/>
        <v>0.11542420232318777</v>
      </c>
      <c r="I32" s="23">
        <f t="shared" si="7"/>
        <v>6016</v>
      </c>
      <c r="J32" s="23">
        <f t="shared" si="8"/>
        <v>85360</v>
      </c>
      <c r="K32" s="22">
        <f t="shared" si="9"/>
        <v>7.0477975632614806E-2</v>
      </c>
      <c r="L32" s="23">
        <f t="shared" si="10"/>
        <v>3934</v>
      </c>
      <c r="M32" s="22">
        <f t="shared" si="11"/>
        <v>8.3925333333333338E-2</v>
      </c>
    </row>
    <row r="33" spans="1:13" ht="15" customHeight="1" x14ac:dyDescent="0.25">
      <c r="A33" s="10">
        <f>A32+1</f>
        <v>2024</v>
      </c>
      <c r="B33" s="22">
        <f>IFERROR(B22/B21-1,"")</f>
        <v>-8.2346666666666124E-3</v>
      </c>
      <c r="C33" s="22">
        <f t="shared" si="1"/>
        <v>0.15644561078964916</v>
      </c>
      <c r="D33" s="22">
        <f t="shared" si="2"/>
        <v>0.19553012540601003</v>
      </c>
      <c r="E33" s="22">
        <f t="shared" si="3"/>
        <v>3.9084514616360859E-2</v>
      </c>
      <c r="F33" s="22">
        <f t="shared" si="4"/>
        <v>6.010023876615974E-2</v>
      </c>
      <c r="G33" s="22">
        <f t="shared" si="5"/>
        <v>-4.0762330873970187E-2</v>
      </c>
      <c r="H33" s="22">
        <f t="shared" si="6"/>
        <v>0.22507905953526744</v>
      </c>
      <c r="I33" s="23">
        <f t="shared" si="7"/>
        <v>5636</v>
      </c>
      <c r="J33" s="23">
        <f t="shared" si="8"/>
        <v>93102</v>
      </c>
      <c r="K33" s="22">
        <f t="shared" si="9"/>
        <v>6.0535756482137867E-2</v>
      </c>
      <c r="L33" s="23">
        <f t="shared" si="10"/>
        <v>6554</v>
      </c>
      <c r="M33" s="22">
        <f t="shared" si="11"/>
        <v>0.14097958656886575</v>
      </c>
    </row>
    <row r="35" spans="1:13" ht="15" customHeight="1" x14ac:dyDescent="0.25">
      <c r="A35" s="8" t="s">
        <v>56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15" customHeight="1" x14ac:dyDescent="0.25">
      <c r="A36" s="24" t="s">
        <v>57</v>
      </c>
      <c r="B36" s="22">
        <f>IFERROR((B22/B17)^(1/6)-1,"")</f>
        <v>-2.7060141699414286E-3</v>
      </c>
    </row>
    <row r="37" spans="1:13" ht="15" customHeight="1" x14ac:dyDescent="0.25">
      <c r="A37" s="24" t="s">
        <v>58</v>
      </c>
      <c r="B37" s="22">
        <f>IFERROR((B22/B19)^(1/3)-1,"")</f>
        <v>6.8690960288433356E-3</v>
      </c>
    </row>
    <row r="38" spans="1:13" ht="15" customHeight="1" x14ac:dyDescent="0.25">
      <c r="A38" s="24" t="s">
        <v>59</v>
      </c>
      <c r="B38" s="22">
        <f>IFERROR(MEDIAN(C28:C33),"")</f>
        <v>0.15076680539482457</v>
      </c>
    </row>
    <row r="39" spans="1:13" ht="15" customHeight="1" x14ac:dyDescent="0.25">
      <c r="A39" s="24" t="s">
        <v>60</v>
      </c>
      <c r="B39" s="22">
        <f>IFERROR(MEDIAN(K28:K33),"")</f>
        <v>6.5330974269841219E-2</v>
      </c>
    </row>
    <row r="40" spans="1:13" ht="15" customHeight="1" x14ac:dyDescent="0.25">
      <c r="A40" s="24" t="s">
        <v>61</v>
      </c>
      <c r="B40" s="22">
        <f>IFERROR(AVERAGE(H28:H33),"")</f>
        <v>0.19072516080399479</v>
      </c>
    </row>
    <row r="41" spans="1:13" ht="15" customHeight="1" x14ac:dyDescent="0.25">
      <c r="A41" s="24" t="s">
        <v>62</v>
      </c>
      <c r="B41" s="22">
        <f>IFERROR(AVERAGE(M28:M33),"")</f>
        <v>3.3291482387188091E-2</v>
      </c>
    </row>
    <row r="42" spans="1:13" ht="15" customHeight="1" x14ac:dyDescent="0.25">
      <c r="A42" s="24" t="s">
        <v>63</v>
      </c>
      <c r="B42" s="22">
        <f>IFERROR(MAX(B29:B33),"")</f>
        <v>7.6365712278236408E-2</v>
      </c>
    </row>
    <row r="43" spans="1:13" ht="15" customHeight="1" x14ac:dyDescent="0.25">
      <c r="A43" s="24" t="s">
        <v>64</v>
      </c>
      <c r="B43" s="22">
        <f>IFERROR(MIN(B29:B33),"")</f>
        <v>-8.1966519227106294E-2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6B43"/>
  </sheetPr>
  <dimension ref="A1:D21"/>
  <sheetViews>
    <sheetView zoomScaleNormal="100" workbookViewId="0">
      <selection activeCell="D38" sqref="D38"/>
    </sheetView>
  </sheetViews>
  <sheetFormatPr baseColWidth="10" defaultColWidth="8.7109375" defaultRowHeight="15" x14ac:dyDescent="0.25"/>
  <cols>
    <col min="1" max="3" width="16" customWidth="1"/>
    <col min="4" max="4" width="28" customWidth="1"/>
  </cols>
  <sheetData>
    <row r="1" spans="1:4" ht="15" customHeight="1" x14ac:dyDescent="0.25">
      <c r="A1" s="24" t="s">
        <v>65</v>
      </c>
      <c r="B1" s="25" t="str">
        <f>Fundamentals!B2</f>
        <v>NESN SW Equity</v>
      </c>
    </row>
    <row r="3" spans="1:4" ht="15" customHeight="1" x14ac:dyDescent="0.25">
      <c r="A3" s="1" t="s">
        <v>21</v>
      </c>
      <c r="B3" s="1" t="s">
        <v>66</v>
      </c>
      <c r="C3" s="1" t="s">
        <v>67</v>
      </c>
      <c r="D3" s="1" t="s">
        <v>68</v>
      </c>
    </row>
    <row r="4" spans="1:4" ht="15" customHeight="1" x14ac:dyDescent="0.25">
      <c r="A4" s="24" t="s">
        <v>69</v>
      </c>
      <c r="B4" s="12">
        <f>_xll.BDP($B$1,"PX_LAST")</f>
        <v>77.62</v>
      </c>
      <c r="C4" s="20">
        <v>77.62</v>
      </c>
      <c r="D4" s="26" t="s">
        <v>70</v>
      </c>
    </row>
    <row r="5" spans="1:4" ht="15" customHeight="1" x14ac:dyDescent="0.25">
      <c r="A5" s="24" t="s">
        <v>71</v>
      </c>
      <c r="B5" s="11">
        <f>_xll.BDP($B$1,"CUR_MKT_CAP")</f>
        <v>199989482400</v>
      </c>
      <c r="C5" s="19">
        <v>199989482400</v>
      </c>
      <c r="D5" s="26" t="s">
        <v>72</v>
      </c>
    </row>
    <row r="6" spans="1:4" ht="15" customHeight="1" x14ac:dyDescent="0.25">
      <c r="A6" s="24" t="s">
        <v>11</v>
      </c>
      <c r="B6" s="12">
        <f>_xll.BDP($B$1,"EQY_SH_OUT")</f>
        <v>2576.52</v>
      </c>
      <c r="C6" s="20">
        <v>2576.52</v>
      </c>
      <c r="D6" s="26" t="s">
        <v>73</v>
      </c>
    </row>
    <row r="7" spans="1:4" ht="15" customHeight="1" x14ac:dyDescent="0.25">
      <c r="A7" s="24" t="s">
        <v>74</v>
      </c>
      <c r="B7" s="11">
        <f>_xll.BDP($B$1,"ENTERPRISE_VALUE")</f>
        <v>253662.9819331</v>
      </c>
      <c r="C7" s="19">
        <v>253662.9819331</v>
      </c>
      <c r="D7" s="26" t="s">
        <v>75</v>
      </c>
    </row>
    <row r="8" spans="1:4" ht="15" customHeight="1" x14ac:dyDescent="0.25">
      <c r="A8" s="24" t="s">
        <v>76</v>
      </c>
      <c r="B8" s="27">
        <f>_xll.BDP($B$1,"BETA_RAW_OVERRIDABLE")</f>
        <v>0.77621759999999995</v>
      </c>
      <c r="C8" s="28">
        <v>0.77621759999999995</v>
      </c>
      <c r="D8" s="26" t="s">
        <v>77</v>
      </c>
    </row>
    <row r="9" spans="1:4" ht="15" customHeight="1" x14ac:dyDescent="0.25">
      <c r="A9" s="24" t="s">
        <v>78</v>
      </c>
      <c r="B9" s="27">
        <f>_xll.BDP($B$1,"BETA_ADJ_OVERRIDABLE")</f>
        <v>0.85080319999999998</v>
      </c>
      <c r="C9" s="28">
        <v>0.85080319999999998</v>
      </c>
      <c r="D9" s="26" t="s">
        <v>79</v>
      </c>
    </row>
    <row r="10" spans="1:4" ht="15" customHeight="1" x14ac:dyDescent="0.25">
      <c r="A10" s="24" t="s">
        <v>80</v>
      </c>
      <c r="B10" s="29">
        <f>_xll.BDP($B$1,"WACC")</f>
        <v>5.8425363242691297</v>
      </c>
      <c r="C10" s="30">
        <v>5.8425363242691297</v>
      </c>
      <c r="D10" s="26" t="s">
        <v>81</v>
      </c>
    </row>
    <row r="11" spans="1:4" ht="15" customHeight="1" x14ac:dyDescent="0.25">
      <c r="A11" s="24" t="s">
        <v>53</v>
      </c>
      <c r="B11" s="29">
        <f>_xll.BDP($B$1,"RETURN_ON_INV_CAPITAL")</f>
        <v>10.229177342853678</v>
      </c>
      <c r="C11" s="30">
        <v>10.229177342853678</v>
      </c>
      <c r="D11" s="26" t="s">
        <v>82</v>
      </c>
    </row>
    <row r="12" spans="1:4" ht="15" customHeight="1" x14ac:dyDescent="0.25">
      <c r="A12" s="24" t="s">
        <v>83</v>
      </c>
      <c r="B12" s="29">
        <f>_xll.BDP($B$1,"EQY_DVD_YLD_12M")</f>
        <v>3.9293995778359752</v>
      </c>
      <c r="C12" s="30">
        <v>3.9293995778359752</v>
      </c>
      <c r="D12" s="26" t="s">
        <v>84</v>
      </c>
    </row>
    <row r="13" spans="1:4" ht="15" customHeight="1" x14ac:dyDescent="0.25">
      <c r="A13" s="24" t="s">
        <v>85</v>
      </c>
      <c r="B13" s="27">
        <f>_xll.BDP($B$1,"TOT_DEBT_TO_TOT_EQY")</f>
        <v>172.7509226208482</v>
      </c>
      <c r="C13" s="28">
        <v>172.7509226208482</v>
      </c>
      <c r="D13" s="26" t="s">
        <v>86</v>
      </c>
    </row>
    <row r="14" spans="1:4" ht="15" customHeight="1" x14ac:dyDescent="0.25">
      <c r="A14" s="24" t="s">
        <v>87</v>
      </c>
      <c r="B14" s="29">
        <f>_xll.BDP($B$1,"OPER_MARGIN")</f>
        <v>13.658563720309283</v>
      </c>
      <c r="C14" s="30">
        <v>13.658563720309283</v>
      </c>
      <c r="D14" s="26" t="s">
        <v>88</v>
      </c>
    </row>
    <row r="15" spans="1:4" ht="15" customHeight="1" x14ac:dyDescent="0.25">
      <c r="A15" s="24" t="s">
        <v>89</v>
      </c>
      <c r="B15" s="11">
        <f>_xll.BDP($B$1,"BEST_SALES")</f>
        <v>21392.833333333332</v>
      </c>
      <c r="C15" s="19">
        <v>21392.833333333332</v>
      </c>
      <c r="D15" s="26" t="s">
        <v>90</v>
      </c>
    </row>
    <row r="16" spans="1:4" ht="15" customHeight="1" x14ac:dyDescent="0.25">
      <c r="A16" s="24" t="s">
        <v>91</v>
      </c>
      <c r="B16" s="12">
        <f>_xll.BDP($B$1,"BEST_EPS")</f>
        <v>4.3440000000000003</v>
      </c>
      <c r="C16" s="20">
        <v>4.3440000000000003</v>
      </c>
      <c r="D16" s="26" t="s">
        <v>92</v>
      </c>
    </row>
    <row r="18" spans="1:3" ht="15" customHeight="1" x14ac:dyDescent="0.25">
      <c r="A18" s="31" t="s">
        <v>93</v>
      </c>
    </row>
    <row r="19" spans="1:3" ht="15" customHeight="1" x14ac:dyDescent="0.25">
      <c r="A19" s="24" t="s">
        <v>94</v>
      </c>
      <c r="C19" s="32">
        <f>Fundamentals!I22-Fundamentals!J22</f>
        <v>57185</v>
      </c>
    </row>
    <row r="20" spans="1:3" ht="15" customHeight="1" x14ac:dyDescent="0.25">
      <c r="A20" s="24" t="s">
        <v>10</v>
      </c>
      <c r="C20" s="32">
        <f>Fundamentals!K22</f>
        <v>159</v>
      </c>
    </row>
    <row r="21" spans="1:3" ht="15" customHeight="1" x14ac:dyDescent="0.25">
      <c r="A21" s="24" t="s">
        <v>95</v>
      </c>
      <c r="C21" s="32">
        <f>C5+C19+C20</f>
        <v>199989539744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D23"/>
  <sheetViews>
    <sheetView zoomScaleNormal="100" workbookViewId="0">
      <selection activeCell="D15" sqref="D15"/>
    </sheetView>
  </sheetViews>
  <sheetFormatPr baseColWidth="10" defaultColWidth="8.7109375" defaultRowHeight="15" x14ac:dyDescent="0.25"/>
  <cols>
    <col min="1" max="1" width="14" customWidth="1"/>
    <col min="2" max="2" width="22" customWidth="1"/>
    <col min="3" max="4" width="14" customWidth="1"/>
  </cols>
  <sheetData>
    <row r="1" spans="1:4" ht="15.75" customHeight="1" x14ac:dyDescent="0.25">
      <c r="A1" s="33" t="s">
        <v>96</v>
      </c>
    </row>
    <row r="3" spans="1:4" ht="15" customHeight="1" x14ac:dyDescent="0.25">
      <c r="A3" s="1" t="s">
        <v>97</v>
      </c>
      <c r="B3" s="1" t="s">
        <v>18</v>
      </c>
      <c r="C3" s="1" t="s">
        <v>66</v>
      </c>
      <c r="D3" s="1" t="s">
        <v>67</v>
      </c>
    </row>
    <row r="4" spans="1:4" ht="15" customHeight="1" x14ac:dyDescent="0.25">
      <c r="A4" s="24" t="s">
        <v>98</v>
      </c>
      <c r="B4" s="26" t="s">
        <v>164</v>
      </c>
      <c r="C4" s="34">
        <f>_xll.BDP("GSWISS10 Index","PX_LAST")/100</f>
        <v>4.0000000000000001E-3</v>
      </c>
      <c r="D4" s="35">
        <v>4.0000000000000001E-3</v>
      </c>
    </row>
    <row r="5" spans="1:4" ht="15" customHeight="1" x14ac:dyDescent="0.25">
      <c r="A5" s="24" t="s">
        <v>99</v>
      </c>
      <c r="B5" s="26" t="s">
        <v>100</v>
      </c>
      <c r="C5" s="34">
        <f>_xll.BDP("GDBR10 Index","PX_LAST")/100</f>
        <v>2.997E-2</v>
      </c>
      <c r="D5" s="35">
        <v>2.997E-2</v>
      </c>
    </row>
    <row r="6" spans="1:4" ht="15" customHeight="1" x14ac:dyDescent="0.25">
      <c r="A6" s="24" t="s">
        <v>101</v>
      </c>
      <c r="B6" s="26" t="s">
        <v>102</v>
      </c>
      <c r="C6" s="34">
        <f>_xll.BDP("USGG10YR Index","PX_LAST")/100</f>
        <v>4.2945000000000004E-2</v>
      </c>
      <c r="D6" s="35">
        <v>4.2945000000000004E-2</v>
      </c>
    </row>
    <row r="7" spans="1:4" ht="15" customHeight="1" x14ac:dyDescent="0.25">
      <c r="A7" s="24" t="s">
        <v>103</v>
      </c>
      <c r="B7" s="26" t="s">
        <v>104</v>
      </c>
      <c r="C7" s="34">
        <f>_xll.BDP("GUKG10 Index","PX_LAST")/100</f>
        <v>4.8600000000000004E-2</v>
      </c>
      <c r="D7" s="35">
        <v>4.8600000000000004E-2</v>
      </c>
    </row>
    <row r="8" spans="1:4" ht="15" customHeight="1" x14ac:dyDescent="0.25">
      <c r="A8" s="24" t="s">
        <v>105</v>
      </c>
      <c r="B8" s="26" t="s">
        <v>106</v>
      </c>
      <c r="C8" s="34">
        <f>_xll.BDP("JGBS10 Index","PX_LAST")/100</f>
        <v>2.231E-2</v>
      </c>
      <c r="D8" s="35">
        <v>2.231E-2</v>
      </c>
    </row>
    <row r="10" spans="1:4" ht="15" customHeight="1" x14ac:dyDescent="0.25">
      <c r="A10" s="8" t="s">
        <v>107</v>
      </c>
      <c r="B10" s="9"/>
      <c r="C10" s="9"/>
      <c r="D10" s="9"/>
    </row>
    <row r="11" spans="1:4" ht="15" customHeight="1" x14ac:dyDescent="0.25">
      <c r="A11" s="1" t="s">
        <v>97</v>
      </c>
      <c r="B11" s="1" t="s">
        <v>108</v>
      </c>
      <c r="C11" s="1" t="s">
        <v>109</v>
      </c>
      <c r="D11" s="1" t="s">
        <v>110</v>
      </c>
    </row>
    <row r="12" spans="1:4" ht="15" customHeight="1" x14ac:dyDescent="0.25">
      <c r="A12" s="24" t="s">
        <v>98</v>
      </c>
      <c r="B12" s="36">
        <v>1.4999999999999999E-2</v>
      </c>
      <c r="C12" s="36">
        <v>0.01</v>
      </c>
      <c r="D12" s="22">
        <f t="shared" ref="D12:D17" si="0">IFERROR((1+B12)*(1+C12)-1,"")</f>
        <v>2.5150000000000006E-2</v>
      </c>
    </row>
    <row r="13" spans="1:4" ht="15" customHeight="1" x14ac:dyDescent="0.25">
      <c r="A13" s="24" t="s">
        <v>99</v>
      </c>
      <c r="B13" s="36">
        <v>1.2E-2</v>
      </c>
      <c r="C13" s="36">
        <v>0.02</v>
      </c>
      <c r="D13" s="22">
        <f t="shared" si="0"/>
        <v>3.2240000000000046E-2</v>
      </c>
    </row>
    <row r="14" spans="1:4" ht="15" customHeight="1" x14ac:dyDescent="0.25">
      <c r="A14" s="24" t="s">
        <v>101</v>
      </c>
      <c r="B14" s="36">
        <v>0.02</v>
      </c>
      <c r="C14" s="36">
        <v>2.5000000000000001E-2</v>
      </c>
      <c r="D14" s="22">
        <f t="shared" si="0"/>
        <v>4.5499999999999874E-2</v>
      </c>
    </row>
    <row r="15" spans="1:4" ht="15" customHeight="1" x14ac:dyDescent="0.25">
      <c r="A15" s="24" t="s">
        <v>103</v>
      </c>
      <c r="B15" s="36">
        <v>1.4999999999999999E-2</v>
      </c>
      <c r="C15" s="36">
        <v>0.02</v>
      </c>
      <c r="D15" s="22">
        <f t="shared" si="0"/>
        <v>3.5299999999999887E-2</v>
      </c>
    </row>
    <row r="16" spans="1:4" ht="15" customHeight="1" x14ac:dyDescent="0.25">
      <c r="A16" s="24" t="s">
        <v>105</v>
      </c>
      <c r="B16" s="36">
        <v>8.0000000000000002E-3</v>
      </c>
      <c r="C16" s="36">
        <v>1.4999999999999999E-2</v>
      </c>
      <c r="D16" s="22">
        <f t="shared" si="0"/>
        <v>2.3119999999999807E-2</v>
      </c>
    </row>
    <row r="17" spans="1:4" ht="15" customHeight="1" x14ac:dyDescent="0.25">
      <c r="A17" s="24" t="s">
        <v>111</v>
      </c>
      <c r="B17" s="36">
        <v>0.04</v>
      </c>
      <c r="C17" s="36">
        <v>3.5000000000000003E-2</v>
      </c>
      <c r="D17" s="22">
        <f t="shared" si="0"/>
        <v>7.6400000000000023E-2</v>
      </c>
    </row>
    <row r="19" spans="1:4" ht="15" customHeight="1" x14ac:dyDescent="0.25">
      <c r="A19" s="8" t="s">
        <v>112</v>
      </c>
      <c r="B19" s="9"/>
      <c r="C19" s="9"/>
      <c r="D19" s="9"/>
    </row>
    <row r="20" spans="1:4" ht="15" customHeight="1" x14ac:dyDescent="0.25">
      <c r="A20" s="1" t="s">
        <v>113</v>
      </c>
      <c r="B20" s="1" t="s">
        <v>112</v>
      </c>
    </row>
    <row r="21" spans="1:4" ht="15" customHeight="1" x14ac:dyDescent="0.25">
      <c r="A21" s="24" t="s">
        <v>114</v>
      </c>
      <c r="B21" s="36">
        <v>4.8000000000000001E-2</v>
      </c>
    </row>
    <row r="22" spans="1:4" ht="15" customHeight="1" x14ac:dyDescent="0.25">
      <c r="A22" s="24" t="s">
        <v>115</v>
      </c>
      <c r="B22" s="36">
        <v>0.05</v>
      </c>
    </row>
    <row r="23" spans="1:4" ht="15" customHeight="1" x14ac:dyDescent="0.25">
      <c r="A23" s="24" t="s">
        <v>116</v>
      </c>
      <c r="B23" s="36">
        <v>5.5E-2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BAE40"/>
  </sheetPr>
  <dimension ref="A1:F18"/>
  <sheetViews>
    <sheetView zoomScaleNormal="100" workbookViewId="0">
      <selection activeCell="E28" sqref="E28"/>
    </sheetView>
  </sheetViews>
  <sheetFormatPr baseColWidth="10" defaultColWidth="8.7109375" defaultRowHeight="15" x14ac:dyDescent="0.25"/>
  <cols>
    <col min="1" max="1" width="14" customWidth="1"/>
    <col min="2" max="3" width="12" customWidth="1"/>
    <col min="4" max="4" width="10" customWidth="1"/>
    <col min="5" max="5" width="12" customWidth="1"/>
    <col min="6" max="6" width="14" customWidth="1"/>
  </cols>
  <sheetData>
    <row r="1" spans="1:6" ht="15.75" customHeight="1" x14ac:dyDescent="0.25">
      <c r="A1" s="33" t="s">
        <v>81</v>
      </c>
    </row>
    <row r="3" spans="1:6" ht="15" customHeight="1" x14ac:dyDescent="0.25">
      <c r="A3" s="1" t="s">
        <v>117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</row>
    <row r="4" spans="1:6" ht="15" customHeight="1" x14ac:dyDescent="0.25">
      <c r="A4" s="24" t="s">
        <v>123</v>
      </c>
      <c r="B4" s="37">
        <f>Macro!D4</f>
        <v>4.0000000000000001E-3</v>
      </c>
      <c r="C4" s="38">
        <v>8.0000000000000002E-3</v>
      </c>
      <c r="D4" s="39" t="s">
        <v>118</v>
      </c>
      <c r="E4" s="40">
        <f>IFERROR(IF(D4="Manual",C4,B4),C4)</f>
        <v>4.0000000000000001E-3</v>
      </c>
      <c r="F4" s="26" t="s">
        <v>124</v>
      </c>
    </row>
    <row r="5" spans="1:6" ht="15" customHeight="1" x14ac:dyDescent="0.25">
      <c r="A5" s="24" t="s">
        <v>112</v>
      </c>
      <c r="B5" s="37">
        <f>Macro!B23</f>
        <v>5.5E-2</v>
      </c>
      <c r="C5" s="38">
        <v>5.5E-2</v>
      </c>
      <c r="D5" s="39" t="s">
        <v>118</v>
      </c>
      <c r="E5" s="40">
        <f>IFERROR(IF(D5="Manual",C5,B5),C5)</f>
        <v>5.5E-2</v>
      </c>
      <c r="F5" s="26" t="s">
        <v>125</v>
      </c>
    </row>
    <row r="6" spans="1:6" ht="15" customHeight="1" x14ac:dyDescent="0.25">
      <c r="A6" s="24" t="s">
        <v>126</v>
      </c>
      <c r="B6" s="41">
        <f>Current!C9</f>
        <v>0.85080319999999998</v>
      </c>
      <c r="C6" s="42">
        <v>0.7</v>
      </c>
      <c r="D6" s="39" t="s">
        <v>118</v>
      </c>
      <c r="E6" s="43">
        <f>IFERROR(IF(D6="Manual",C6,B6),C6)</f>
        <v>0.85080319999999998</v>
      </c>
      <c r="F6" s="26" t="s">
        <v>127</v>
      </c>
    </row>
    <row r="7" spans="1:6" ht="15" customHeight="1" x14ac:dyDescent="0.25">
      <c r="A7" s="24" t="s">
        <v>128</v>
      </c>
      <c r="B7" s="44"/>
      <c r="C7" s="44"/>
      <c r="D7" s="7" t="s">
        <v>129</v>
      </c>
      <c r="E7" s="45">
        <f>IFERROR(E4+E6*E5,"")</f>
        <v>5.0794175999999996E-2</v>
      </c>
      <c r="F7" s="26" t="s">
        <v>130</v>
      </c>
    </row>
    <row r="8" spans="1:6" ht="15" customHeight="1" x14ac:dyDescent="0.25">
      <c r="A8" s="24" t="s">
        <v>131</v>
      </c>
      <c r="B8" s="44"/>
      <c r="C8" s="38">
        <v>1.4999999999999999E-2</v>
      </c>
      <c r="D8" s="39" t="s">
        <v>119</v>
      </c>
      <c r="E8" s="40">
        <f>IFERROR(IF(D8="Manual",C8,B8),C8)</f>
        <v>1.4999999999999999E-2</v>
      </c>
      <c r="F8" s="26" t="s">
        <v>119</v>
      </c>
    </row>
    <row r="9" spans="1:6" ht="15" customHeight="1" x14ac:dyDescent="0.25">
      <c r="A9" s="24" t="s">
        <v>132</v>
      </c>
      <c r="B9" s="46">
        <f>Fundamentals!B40</f>
        <v>0.19072516080399479</v>
      </c>
      <c r="C9" s="36">
        <v>0.22</v>
      </c>
      <c r="D9" s="39" t="s">
        <v>118</v>
      </c>
      <c r="E9" s="47">
        <f>IFERROR(IF(D9="Manual",C9,B9),C9)</f>
        <v>0.19072516080399479</v>
      </c>
      <c r="F9" s="26" t="s">
        <v>133</v>
      </c>
    </row>
    <row r="10" spans="1:6" ht="15" customHeight="1" x14ac:dyDescent="0.25">
      <c r="A10" s="24" t="s">
        <v>134</v>
      </c>
      <c r="B10" s="44"/>
      <c r="C10" s="44"/>
      <c r="D10" s="7" t="s">
        <v>129</v>
      </c>
      <c r="E10" s="45">
        <f>IFERROR(E8*(1-E9),"")</f>
        <v>1.2139122587940077E-2</v>
      </c>
      <c r="F10" s="26" t="s">
        <v>135</v>
      </c>
    </row>
    <row r="11" spans="1:6" ht="15" customHeight="1" x14ac:dyDescent="0.25">
      <c r="A11" s="24" t="s">
        <v>136</v>
      </c>
      <c r="B11" s="48"/>
      <c r="C11" s="36">
        <v>0.87</v>
      </c>
      <c r="D11" s="39" t="s">
        <v>119</v>
      </c>
      <c r="E11" s="47">
        <f>IFERROR(IF(D11="Manual",C11,B11),C11)</f>
        <v>0.87</v>
      </c>
      <c r="F11" s="26" t="s">
        <v>137</v>
      </c>
    </row>
    <row r="12" spans="1:6" ht="15" customHeight="1" x14ac:dyDescent="0.25">
      <c r="A12" s="24" t="s">
        <v>138</v>
      </c>
      <c r="B12" s="48"/>
      <c r="C12" s="48"/>
      <c r="D12" s="7" t="s">
        <v>129</v>
      </c>
      <c r="E12" s="22">
        <f>IFERROR(1-E11,"")</f>
        <v>0.13</v>
      </c>
      <c r="F12" s="26" t="s">
        <v>139</v>
      </c>
    </row>
    <row r="13" spans="1:6" ht="15" customHeight="1" x14ac:dyDescent="0.25">
      <c r="A13" s="24" t="s">
        <v>81</v>
      </c>
      <c r="B13" s="44"/>
      <c r="C13" s="44"/>
      <c r="D13" s="7" t="s">
        <v>129</v>
      </c>
      <c r="E13" s="49">
        <f>IFERROR(E11*E7+E12*E10,"")</f>
        <v>4.5769019056432207E-2</v>
      </c>
      <c r="F13" s="26" t="s">
        <v>140</v>
      </c>
    </row>
    <row r="14" spans="1:6" ht="15" customHeight="1" x14ac:dyDescent="0.25">
      <c r="A14" s="24" t="s">
        <v>141</v>
      </c>
      <c r="B14" s="46">
        <f>Macro!D12</f>
        <v>2.5150000000000006E-2</v>
      </c>
      <c r="C14" s="36">
        <v>0.02</v>
      </c>
      <c r="D14" s="39" t="s">
        <v>118</v>
      </c>
      <c r="E14" s="47">
        <f>IFERROR(IF(D14="Manual",C14,B14),C14)</f>
        <v>2.5150000000000006E-2</v>
      </c>
      <c r="F14" s="26" t="s">
        <v>107</v>
      </c>
    </row>
    <row r="15" spans="1:6" ht="15" customHeight="1" x14ac:dyDescent="0.25">
      <c r="A15" s="24" t="s">
        <v>142</v>
      </c>
      <c r="B15" s="46">
        <f>Fundamentals!B38</f>
        <v>0.15076680539482457</v>
      </c>
      <c r="C15" s="36">
        <v>0.15</v>
      </c>
      <c r="D15" s="39" t="s">
        <v>118</v>
      </c>
      <c r="E15" s="47">
        <f>IFERROR(IF(D15="Manual",C15,B15),C15)</f>
        <v>0.15076680539482457</v>
      </c>
      <c r="F15" s="26" t="s">
        <v>143</v>
      </c>
    </row>
    <row r="16" spans="1:6" ht="15" customHeight="1" x14ac:dyDescent="0.25">
      <c r="A16" s="24" t="s">
        <v>144</v>
      </c>
      <c r="B16" s="50"/>
      <c r="C16" s="51">
        <v>5</v>
      </c>
      <c r="D16" s="39" t="s">
        <v>119</v>
      </c>
      <c r="E16" s="52">
        <f>IFERROR(IF(D16="Manual",C16,B16),C16)</f>
        <v>5</v>
      </c>
      <c r="F16" s="26"/>
    </row>
    <row r="17" spans="1:6" ht="15" customHeight="1" x14ac:dyDescent="0.25">
      <c r="A17" s="24" t="s">
        <v>145</v>
      </c>
      <c r="B17" s="48"/>
      <c r="C17" s="36">
        <v>0.03</v>
      </c>
      <c r="D17" s="39" t="s">
        <v>119</v>
      </c>
      <c r="E17" s="47">
        <f>IFERROR(IF(D17="Manual",C17,B17),C17)</f>
        <v>0.03</v>
      </c>
      <c r="F17" s="26" t="s">
        <v>146</v>
      </c>
    </row>
    <row r="18" spans="1:6" ht="15" customHeight="1" x14ac:dyDescent="0.25">
      <c r="A18" s="24" t="s">
        <v>147</v>
      </c>
      <c r="B18" s="48"/>
      <c r="C18" s="36">
        <v>-0.03</v>
      </c>
      <c r="D18" s="39" t="s">
        <v>119</v>
      </c>
      <c r="E18" s="47">
        <f>IFERROR(IF(D18="Manual",C18,B18),C18)</f>
        <v>-0.03</v>
      </c>
      <c r="F18" s="26" t="s">
        <v>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zoomScaleNormal="100" workbookViewId="0"/>
  </sheetViews>
  <sheetFormatPr baseColWidth="10" defaultColWidth="8.7109375" defaultRowHeight="15" x14ac:dyDescent="0.25"/>
  <cols>
    <col min="1" max="1" width="70" customWidth="1"/>
  </cols>
  <sheetData>
    <row r="1" spans="1:1" ht="15.75" customHeight="1" x14ac:dyDescent="0.25">
      <c r="A1" s="33" t="s">
        <v>149</v>
      </c>
    </row>
    <row r="3" spans="1:1" ht="15" customHeight="1" x14ac:dyDescent="0.25">
      <c r="A3" s="53" t="s">
        <v>150</v>
      </c>
    </row>
    <row r="4" spans="1:1" ht="15" customHeight="1" x14ac:dyDescent="0.25">
      <c r="A4" s="53" t="s">
        <v>151</v>
      </c>
    </row>
    <row r="5" spans="1:1" ht="15" customHeight="1" x14ac:dyDescent="0.25">
      <c r="A5" s="53" t="s">
        <v>152</v>
      </c>
    </row>
    <row r="6" spans="1:1" ht="15" customHeight="1" x14ac:dyDescent="0.25">
      <c r="A6" s="53" t="s">
        <v>153</v>
      </c>
    </row>
    <row r="7" spans="1:1" ht="15" customHeight="1" x14ac:dyDescent="0.25">
      <c r="A7" s="53" t="s">
        <v>154</v>
      </c>
    </row>
    <row r="8" spans="1:1" ht="15" customHeight="1" x14ac:dyDescent="0.25">
      <c r="A8" s="53" t="s">
        <v>155</v>
      </c>
    </row>
    <row r="9" spans="1:1" ht="15" customHeight="1" x14ac:dyDescent="0.25">
      <c r="A9" s="53" t="s">
        <v>156</v>
      </c>
    </row>
    <row r="10" spans="1:1" ht="15" customHeight="1" x14ac:dyDescent="0.25">
      <c r="A10" s="53" t="s">
        <v>157</v>
      </c>
    </row>
    <row r="11" spans="1:1" ht="15" customHeight="1" x14ac:dyDescent="0.25">
      <c r="A11" s="53" t="s">
        <v>158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Fundamentals</vt:lpstr>
      <vt:lpstr>Current</vt:lpstr>
      <vt:lpstr>Macro</vt:lpstr>
      <vt:lpstr>WACC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Bloomberg Valterna AG</cp:lastModifiedBy>
  <cp:revision>0</cp:revision>
  <dcterms:created xsi:type="dcterms:W3CDTF">2026-03-19T10:28:53Z</dcterms:created>
  <dcterms:modified xsi:type="dcterms:W3CDTF">2026-03-19T12:16:18Z</dcterms:modified>
  <dc:language>en-US</dc:language>
</cp:coreProperties>
</file>